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OSTV03\Downloads\"/>
    </mc:Choice>
  </mc:AlternateContent>
  <xr:revisionPtr revIDLastSave="0" documentId="8_{744C0395-2C30-413F-B641-CDE48E341FB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spuestas Cap 21 Hull" sheetId="2" r:id="rId1"/>
    <sheet name="Griegas Bloomber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B29" i="2"/>
  <c r="B34" i="2" s="1"/>
  <c r="B12" i="2"/>
  <c r="B13" i="2" s="1"/>
  <c r="V49" i="1"/>
  <c r="U49" i="1"/>
  <c r="T49" i="1"/>
  <c r="R49" i="1"/>
  <c r="S49" i="1" s="1"/>
  <c r="Q49" i="1"/>
  <c r="D73" i="1" s="1"/>
  <c r="V48" i="1"/>
  <c r="I73" i="1" s="1"/>
  <c r="U48" i="1"/>
  <c r="H73" i="1" s="1"/>
  <c r="T48" i="1"/>
  <c r="G73" i="1" s="1"/>
  <c r="R48" i="1"/>
  <c r="E73" i="1" s="1"/>
  <c r="Q48" i="1"/>
  <c r="V47" i="1"/>
  <c r="U47" i="1"/>
  <c r="T47" i="1"/>
  <c r="R47" i="1"/>
  <c r="S47" i="1" s="1"/>
  <c r="Q47" i="1"/>
  <c r="V46" i="1"/>
  <c r="I72" i="1" s="1"/>
  <c r="U46" i="1"/>
  <c r="H72" i="1" s="1"/>
  <c r="T46" i="1"/>
  <c r="G72" i="1" s="1"/>
  <c r="R46" i="1"/>
  <c r="S46" i="1" s="1"/>
  <c r="F72" i="1" s="1"/>
  <c r="Q46" i="1"/>
  <c r="D72" i="1" s="1"/>
  <c r="V45" i="1"/>
  <c r="U45" i="1"/>
  <c r="T45" i="1"/>
  <c r="R45" i="1"/>
  <c r="S45" i="1" s="1"/>
  <c r="Q45" i="1"/>
  <c r="V44" i="1"/>
  <c r="U44" i="1"/>
  <c r="H71" i="1" s="1"/>
  <c r="T44" i="1"/>
  <c r="G71" i="1" s="1"/>
  <c r="R44" i="1"/>
  <c r="E71" i="1" s="1"/>
  <c r="Q44" i="1"/>
  <c r="V43" i="1"/>
  <c r="U43" i="1"/>
  <c r="T43" i="1"/>
  <c r="R43" i="1"/>
  <c r="S43" i="1" s="1"/>
  <c r="Q43" i="1"/>
  <c r="V42" i="1"/>
  <c r="I70" i="1" s="1"/>
  <c r="U42" i="1"/>
  <c r="T42" i="1"/>
  <c r="R42" i="1"/>
  <c r="S42" i="1" s="1"/>
  <c r="F70" i="1" s="1"/>
  <c r="Q42" i="1"/>
  <c r="D70" i="1" s="1"/>
  <c r="V41" i="1"/>
  <c r="U41" i="1"/>
  <c r="T41" i="1"/>
  <c r="R41" i="1"/>
  <c r="S41" i="1" s="1"/>
  <c r="Q41" i="1"/>
  <c r="V40" i="1"/>
  <c r="U40" i="1"/>
  <c r="T40" i="1"/>
  <c r="R40" i="1"/>
  <c r="E69" i="1" s="1"/>
  <c r="Q40" i="1"/>
  <c r="V39" i="1"/>
  <c r="U39" i="1"/>
  <c r="T39" i="1"/>
  <c r="R39" i="1"/>
  <c r="S39" i="1" s="1"/>
  <c r="Q39" i="1"/>
  <c r="V38" i="1"/>
  <c r="U38" i="1"/>
  <c r="T38" i="1"/>
  <c r="G68" i="1" s="1"/>
  <c r="R38" i="1"/>
  <c r="E68" i="1" s="1"/>
  <c r="Q38" i="1"/>
  <c r="V37" i="1"/>
  <c r="U37" i="1"/>
  <c r="T37" i="1"/>
  <c r="R37" i="1"/>
  <c r="S37" i="1" s="1"/>
  <c r="Q37" i="1"/>
  <c r="V36" i="1"/>
  <c r="U36" i="1"/>
  <c r="T36" i="1"/>
  <c r="R36" i="1"/>
  <c r="S36" i="1" s="1"/>
  <c r="Q36" i="1"/>
  <c r="V35" i="1"/>
  <c r="U35" i="1"/>
  <c r="T35" i="1"/>
  <c r="R35" i="1"/>
  <c r="S35" i="1" s="1"/>
  <c r="Q35" i="1"/>
  <c r="D67" i="1" s="1"/>
  <c r="V34" i="1"/>
  <c r="U34" i="1"/>
  <c r="T34" i="1"/>
  <c r="G67" i="1" s="1"/>
  <c r="R34" i="1"/>
  <c r="Q34" i="1"/>
  <c r="V33" i="1"/>
  <c r="U33" i="1"/>
  <c r="T33" i="1"/>
  <c r="R33" i="1"/>
  <c r="S33" i="1" s="1"/>
  <c r="Q33" i="1"/>
  <c r="V32" i="1"/>
  <c r="I66" i="1" s="1"/>
  <c r="U32" i="1"/>
  <c r="H66" i="1" s="1"/>
  <c r="T32" i="1"/>
  <c r="G66" i="1" s="1"/>
  <c r="R32" i="1"/>
  <c r="E66" i="1" s="1"/>
  <c r="Q32" i="1"/>
  <c r="D66" i="1" s="1"/>
  <c r="V31" i="1"/>
  <c r="U31" i="1"/>
  <c r="T31" i="1"/>
  <c r="R31" i="1"/>
  <c r="S31" i="1" s="1"/>
  <c r="Q31" i="1"/>
  <c r="V30" i="1"/>
  <c r="U30" i="1"/>
  <c r="T30" i="1"/>
  <c r="S30" i="1"/>
  <c r="R30" i="1"/>
  <c r="Q30" i="1"/>
  <c r="V29" i="1"/>
  <c r="U29" i="1"/>
  <c r="T29" i="1"/>
  <c r="R29" i="1"/>
  <c r="S29" i="1" s="1"/>
  <c r="Q29" i="1"/>
  <c r="V28" i="1"/>
  <c r="U28" i="1"/>
  <c r="H64" i="1" s="1"/>
  <c r="T28" i="1"/>
  <c r="G64" i="1" s="1"/>
  <c r="R28" i="1"/>
  <c r="S28" i="1" s="1"/>
  <c r="F64" i="1" s="1"/>
  <c r="Q28" i="1"/>
  <c r="D64" i="1" s="1"/>
  <c r="V27" i="1"/>
  <c r="U27" i="1"/>
  <c r="T27" i="1"/>
  <c r="R27" i="1"/>
  <c r="S27" i="1" s="1"/>
  <c r="Q27" i="1"/>
  <c r="V26" i="1"/>
  <c r="I63" i="1" s="1"/>
  <c r="U26" i="1"/>
  <c r="T26" i="1"/>
  <c r="G63" i="1" s="1"/>
  <c r="R26" i="1"/>
  <c r="E63" i="1" s="1"/>
  <c r="Q26" i="1"/>
  <c r="D78" i="1" s="1"/>
  <c r="V25" i="1"/>
  <c r="U25" i="1"/>
  <c r="T25" i="1"/>
  <c r="R25" i="1"/>
  <c r="S25" i="1" s="1"/>
  <c r="Q25" i="1"/>
  <c r="V24" i="1"/>
  <c r="U24" i="1"/>
  <c r="H62" i="1" s="1"/>
  <c r="T24" i="1"/>
  <c r="R24" i="1"/>
  <c r="Q24" i="1"/>
  <c r="V23" i="1"/>
  <c r="U23" i="1"/>
  <c r="T23" i="1"/>
  <c r="R23" i="1"/>
  <c r="S23" i="1" s="1"/>
  <c r="Q23" i="1"/>
  <c r="V22" i="1"/>
  <c r="U22" i="1"/>
  <c r="T22" i="1"/>
  <c r="R22" i="1"/>
  <c r="S22" i="1" s="1"/>
  <c r="Q22" i="1"/>
  <c r="V21" i="1"/>
  <c r="U21" i="1"/>
  <c r="T21" i="1"/>
  <c r="G61" i="1" s="1"/>
  <c r="R21" i="1"/>
  <c r="S21" i="1" s="1"/>
  <c r="Q21" i="1"/>
  <c r="D61" i="1" s="1"/>
  <c r="V20" i="1"/>
  <c r="U20" i="1"/>
  <c r="T20" i="1"/>
  <c r="G60" i="1" s="1"/>
  <c r="R20" i="1"/>
  <c r="S20" i="1" s="1"/>
  <c r="F60" i="1" s="1"/>
  <c r="Q20" i="1"/>
  <c r="V19" i="1"/>
  <c r="U19" i="1"/>
  <c r="H60" i="1" s="1"/>
  <c r="T19" i="1"/>
  <c r="R19" i="1"/>
  <c r="S19" i="1" s="1"/>
  <c r="Q19" i="1"/>
  <c r="D60" i="1" s="1"/>
  <c r="V18" i="1"/>
  <c r="U18" i="1"/>
  <c r="T18" i="1"/>
  <c r="R18" i="1"/>
  <c r="S18" i="1" s="1"/>
  <c r="Q18" i="1"/>
  <c r="V17" i="1"/>
  <c r="U17" i="1"/>
  <c r="T17" i="1"/>
  <c r="R17" i="1"/>
  <c r="S17" i="1" s="1"/>
  <c r="Q17" i="1"/>
  <c r="V16" i="1"/>
  <c r="U16" i="1"/>
  <c r="T16" i="1"/>
  <c r="R16" i="1"/>
  <c r="Q16" i="1"/>
  <c r="V15" i="1"/>
  <c r="I82" i="1" s="1"/>
  <c r="U15" i="1"/>
  <c r="H58" i="1" s="1"/>
  <c r="T15" i="1"/>
  <c r="R15" i="1"/>
  <c r="S15" i="1" s="1"/>
  <c r="Q15" i="1"/>
  <c r="V14" i="1"/>
  <c r="I57" i="1" s="1"/>
  <c r="U14" i="1"/>
  <c r="H57" i="1" s="1"/>
  <c r="T14" i="1"/>
  <c r="G57" i="1" s="1"/>
  <c r="R14" i="1"/>
  <c r="E57" i="1" s="1"/>
  <c r="Q14" i="1"/>
  <c r="D57" i="1" s="1"/>
  <c r="V13" i="1"/>
  <c r="U13" i="1"/>
  <c r="T13" i="1"/>
  <c r="R13" i="1"/>
  <c r="S13" i="1" s="1"/>
  <c r="Q13" i="1"/>
  <c r="V12" i="1"/>
  <c r="U12" i="1"/>
  <c r="T12" i="1"/>
  <c r="R12" i="1"/>
  <c r="S12" i="1" s="1"/>
  <c r="Q12" i="1"/>
  <c r="V11" i="1"/>
  <c r="U11" i="1"/>
  <c r="T11" i="1"/>
  <c r="R11" i="1"/>
  <c r="S11" i="1" s="1"/>
  <c r="Q11" i="1"/>
  <c r="V10" i="1"/>
  <c r="U10" i="1"/>
  <c r="T10" i="1"/>
  <c r="G56" i="1" s="1"/>
  <c r="R10" i="1"/>
  <c r="Q10" i="1"/>
  <c r="V9" i="1"/>
  <c r="U9" i="1"/>
  <c r="T9" i="1"/>
  <c r="R9" i="1"/>
  <c r="S9" i="1" s="1"/>
  <c r="Q9" i="1"/>
  <c r="V8" i="1"/>
  <c r="I55" i="1" s="1"/>
  <c r="U8" i="1"/>
  <c r="T8" i="1"/>
  <c r="S8" i="1"/>
  <c r="F55" i="1" s="1"/>
  <c r="R8" i="1"/>
  <c r="E55" i="1" s="1"/>
  <c r="Q8" i="1"/>
  <c r="V7" i="1"/>
  <c r="U7" i="1"/>
  <c r="T7" i="1"/>
  <c r="R7" i="1"/>
  <c r="S7" i="1" s="1"/>
  <c r="Q7" i="1"/>
  <c r="V6" i="1"/>
  <c r="U6" i="1"/>
  <c r="T6" i="1"/>
  <c r="R6" i="1"/>
  <c r="S6" i="1" s="1"/>
  <c r="Q6" i="1"/>
  <c r="V5" i="1"/>
  <c r="U5" i="1"/>
  <c r="T5" i="1"/>
  <c r="R5" i="1"/>
  <c r="S5" i="1" s="1"/>
  <c r="Q5" i="1"/>
  <c r="V4" i="1"/>
  <c r="U4" i="1"/>
  <c r="T4" i="1"/>
  <c r="R4" i="1"/>
  <c r="Q4" i="1"/>
  <c r="D55" i="1" l="1"/>
  <c r="D62" i="1"/>
  <c r="S32" i="1"/>
  <c r="F66" i="1" s="1"/>
  <c r="H67" i="1"/>
  <c r="H54" i="1"/>
  <c r="E58" i="1"/>
  <c r="I60" i="1"/>
  <c r="I67" i="1"/>
  <c r="D79" i="1"/>
  <c r="S14" i="1"/>
  <c r="F57" i="1" s="1"/>
  <c r="E70" i="1"/>
  <c r="I58" i="1"/>
  <c r="I81" i="1"/>
  <c r="D80" i="1"/>
  <c r="I79" i="1"/>
  <c r="D56" i="1"/>
  <c r="D59" i="1"/>
  <c r="I64" i="1"/>
  <c r="D81" i="1"/>
  <c r="D68" i="1"/>
  <c r="G70" i="1"/>
  <c r="I71" i="1"/>
  <c r="E56" i="1"/>
  <c r="F59" i="1"/>
  <c r="I61" i="1"/>
  <c r="E62" i="1"/>
  <c r="G69" i="1"/>
  <c r="H70" i="1"/>
  <c r="D71" i="1"/>
  <c r="E78" i="1"/>
  <c r="D82" i="1"/>
  <c r="G59" i="1"/>
  <c r="G62" i="1"/>
  <c r="S38" i="1"/>
  <c r="F68" i="1" s="1"/>
  <c r="D63" i="1"/>
  <c r="I69" i="1"/>
  <c r="G55" i="1"/>
  <c r="I56" i="1"/>
  <c r="I59" i="1"/>
  <c r="I62" i="1"/>
  <c r="H68" i="1"/>
  <c r="D69" i="1"/>
  <c r="E60" i="1"/>
  <c r="H56" i="1"/>
  <c r="D54" i="1"/>
  <c r="H55" i="1"/>
  <c r="I68" i="1"/>
  <c r="B15" i="2"/>
  <c r="S16" i="1"/>
  <c r="F58" i="1" s="1"/>
  <c r="S40" i="1"/>
  <c r="G80" i="1"/>
  <c r="E79" i="1"/>
  <c r="S4" i="1"/>
  <c r="G82" i="1"/>
  <c r="E82" i="1"/>
  <c r="H82" i="1"/>
  <c r="E67" i="1"/>
  <c r="H69" i="1"/>
  <c r="H80" i="1"/>
  <c r="E64" i="1"/>
  <c r="S10" i="1"/>
  <c r="F56" i="1" s="1"/>
  <c r="F61" i="1"/>
  <c r="S34" i="1"/>
  <c r="F67" i="1" s="1"/>
  <c r="E81" i="1"/>
  <c r="E65" i="1"/>
  <c r="G58" i="1"/>
  <c r="E72" i="1"/>
  <c r="H61" i="1"/>
  <c r="D83" i="1"/>
  <c r="F65" i="1"/>
  <c r="E54" i="1"/>
  <c r="B14" i="2"/>
  <c r="G81" i="1"/>
  <c r="G65" i="1"/>
  <c r="G79" i="1"/>
  <c r="H59" i="1"/>
  <c r="S26" i="1"/>
  <c r="H81" i="1"/>
  <c r="H65" i="1"/>
  <c r="G54" i="1"/>
  <c r="G78" i="1"/>
  <c r="F82" i="1"/>
  <c r="H79" i="1"/>
  <c r="S24" i="1"/>
  <c r="F62" i="1" s="1"/>
  <c r="S48" i="1"/>
  <c r="F73" i="1" s="1"/>
  <c r="H63" i="1"/>
  <c r="H78" i="1"/>
  <c r="S44" i="1"/>
  <c r="F71" i="1" s="1"/>
  <c r="E80" i="1"/>
  <c r="B17" i="2"/>
  <c r="B30" i="2"/>
  <c r="I54" i="1"/>
  <c r="I78" i="1"/>
  <c r="I80" i="1"/>
  <c r="D65" i="1"/>
  <c r="I65" i="1"/>
  <c r="E59" i="1"/>
  <c r="E61" i="1"/>
  <c r="D58" i="1"/>
  <c r="B16" i="2" l="1"/>
  <c r="G7" i="2"/>
  <c r="L7" i="2" s="1"/>
  <c r="G8" i="2"/>
  <c r="L8" i="2" s="1"/>
  <c r="G6" i="2"/>
  <c r="L6" i="2" s="1"/>
  <c r="D5" i="2"/>
  <c r="E6" i="2"/>
  <c r="F6" i="2"/>
  <c r="G83" i="1"/>
  <c r="F79" i="1"/>
  <c r="F54" i="1"/>
  <c r="K6" i="2"/>
  <c r="F5" i="2"/>
  <c r="F63" i="1"/>
  <c r="F78" i="1"/>
  <c r="E5" i="2"/>
  <c r="I83" i="1"/>
  <c r="F69" i="1"/>
  <c r="F80" i="1"/>
  <c r="H83" i="1"/>
  <c r="F81" i="1"/>
  <c r="B31" i="2"/>
  <c r="B33" i="2" s="1"/>
  <c r="G22" i="2"/>
  <c r="L22" i="2" s="1"/>
  <c r="G23" i="2"/>
  <c r="L23" i="2" s="1"/>
  <c r="F23" i="2"/>
  <c r="G5" i="2"/>
  <c r="L5" i="2" s="1"/>
  <c r="F7" i="2"/>
  <c r="K7" i="2" s="1"/>
  <c r="J6" i="2" l="1"/>
  <c r="D22" i="2"/>
  <c r="K5" i="2"/>
  <c r="F13" i="2" s="1"/>
  <c r="G24" i="2"/>
  <c r="L24" i="2" s="1"/>
  <c r="K23" i="2" s="1"/>
  <c r="F83" i="1"/>
  <c r="E22" i="2"/>
  <c r="F24" i="2"/>
  <c r="F22" i="2"/>
  <c r="K22" i="2" s="1"/>
  <c r="G25" i="2"/>
  <c r="L25" i="2" s="1"/>
  <c r="E23" i="2"/>
  <c r="J5" i="2" l="1"/>
  <c r="K24" i="2"/>
  <c r="J23" i="2" s="1"/>
  <c r="J22" i="2"/>
  <c r="F12" i="2" l="1"/>
  <c r="I5" i="2"/>
  <c r="F30" i="2"/>
  <c r="F29" i="2"/>
  <c r="I22" i="2"/>
  <c r="F11" i="2" l="1"/>
  <c r="F14" i="2"/>
  <c r="F15" i="2" s="1"/>
  <c r="F28" i="2"/>
  <c r="F31" i="2"/>
  <c r="F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P24" authorId="0" shapeId="0" xr:uid="{00000000-0006-0000-0000-000001000000}">
      <text>
        <r>
          <rPr>
            <sz val="10"/>
            <rFont val="Arial"/>
            <family val="2"/>
          </rPr>
          <t>T5: OVME se capturó con 1 call 380 vendido (Shares=1). Una mariposa vende 2; aquí se usan 10 contratos (2 por cada 5) para corregirlo.</t>
        </r>
      </text>
    </comment>
  </commentList>
</comments>
</file>

<file path=xl/sharedStrings.xml><?xml version="1.0" encoding="utf-8"?>
<sst xmlns="http://schemas.openxmlformats.org/spreadsheetml/2006/main" count="448" uniqueCount="109">
  <si>
    <t>Estrategia</t>
  </si>
  <si>
    <t>Subyacente</t>
  </si>
  <si>
    <t>Nombre</t>
  </si>
  <si>
    <t>Tipo</t>
  </si>
  <si>
    <t>Dirección</t>
  </si>
  <si>
    <t>Strike</t>
  </si>
  <si>
    <t>Vencimiento</t>
  </si>
  <si>
    <t>Días</t>
  </si>
  <si>
    <t>Vol BVOL (%)</t>
  </si>
  <si>
    <t>Spot</t>
  </si>
  <si>
    <t>Prima OVME (US$/acc)</t>
  </si>
  <si>
    <t>Delta (%)</t>
  </si>
  <si>
    <t>Gamma (%)</t>
  </si>
  <si>
    <t>Vega</t>
  </si>
  <si>
    <t>Theta</t>
  </si>
  <si>
    <t>Contratos</t>
  </si>
  <si>
    <t>Flujo US$ (+crédito)</t>
  </si>
  <si>
    <t>Δ (acciones)</t>
  </si>
  <si>
    <t>Δ US$</t>
  </si>
  <si>
    <t>Γ US$ (1%)</t>
  </si>
  <si>
    <t>Vega US$</t>
  </si>
  <si>
    <t>Θ US$/día</t>
  </si>
  <si>
    <t>Z1</t>
  </si>
  <si>
    <t>AMZN</t>
  </si>
  <si>
    <t>Iron condor</t>
  </si>
  <si>
    <t>put</t>
  </si>
  <si>
    <t>buy</t>
  </si>
  <si>
    <t>2026-11-20</t>
  </si>
  <si>
    <t>sell</t>
  </si>
  <si>
    <t>call</t>
  </si>
  <si>
    <t>Z2</t>
  </si>
  <si>
    <t>Bull put spread</t>
  </si>
  <si>
    <t>Z3</t>
  </si>
  <si>
    <t>Short iron butterfly</t>
  </si>
  <si>
    <t>Z4</t>
  </si>
  <si>
    <t>Cash-secured put</t>
  </si>
  <si>
    <t>T1</t>
  </si>
  <si>
    <t>TSLA</t>
  </si>
  <si>
    <t>Long straddle corto (vence 16-oct)</t>
  </si>
  <si>
    <t>2026-10-16</t>
  </si>
  <si>
    <t>T2</t>
  </si>
  <si>
    <t>Long straddle largo (vence 18-dic)</t>
  </si>
  <si>
    <t>2026-12-18</t>
  </si>
  <si>
    <t>T3</t>
  </si>
  <si>
    <t>Call calendar 385</t>
  </si>
  <si>
    <t>T4</t>
  </si>
  <si>
    <t>Bear put spread</t>
  </si>
  <si>
    <t>T5</t>
  </si>
  <si>
    <t>Long call butterfly</t>
  </si>
  <si>
    <t>A4</t>
  </si>
  <si>
    <t>AAPL</t>
  </si>
  <si>
    <t>Bull call spread</t>
  </si>
  <si>
    <t>A5</t>
  </si>
  <si>
    <t>Long straddle (delta-neutral)</t>
  </si>
  <si>
    <t>N1</t>
  </si>
  <si>
    <t>NVDA</t>
  </si>
  <si>
    <t>Long straddle</t>
  </si>
  <si>
    <t>N2</t>
  </si>
  <si>
    <t>Long strangle</t>
  </si>
  <si>
    <t>N3</t>
  </si>
  <si>
    <t>N4</t>
  </si>
  <si>
    <t>M1</t>
  </si>
  <si>
    <t>META</t>
  </si>
  <si>
    <t>Call calendar 720 (oct-30/dic-18)</t>
  </si>
  <si>
    <t>2026-10-30</t>
  </si>
  <si>
    <t>M2</t>
  </si>
  <si>
    <t>Put calendar 720 (oct-30/dic-18)</t>
  </si>
  <si>
    <t>M3</t>
  </si>
  <si>
    <t>Call diagonal 720/700</t>
  </si>
  <si>
    <t>M4</t>
  </si>
  <si>
    <t>Call calendar 720 (nov-20/dic-18)</t>
  </si>
  <si>
    <t>M5</t>
  </si>
  <si>
    <t>Resumen por estrategia</t>
  </si>
  <si>
    <t>Flujo US$</t>
  </si>
  <si>
    <t>Resumen por subyacente y portafolio</t>
  </si>
  <si>
    <t>PORTAFOLIO</t>
  </si>
  <si>
    <t>n.a.</t>
  </si>
  <si>
    <t>Δ en acciones no se suma entre subyacentes distintos. No incluye A1–A3, N5 y Z5 (estrategias con acción, sin captura en OVME).</t>
  </si>
  <si>
    <t>21.2 Put americano sobre acción sin dividendos</t>
  </si>
  <si>
    <t>Precio del subyacente</t>
  </si>
  <si>
    <t>Valor de la opción americana</t>
  </si>
  <si>
    <t>S₀ / F₀</t>
  </si>
  <si>
    <t>i=0</t>
  </si>
  <si>
    <t>i=1</t>
  </si>
  <si>
    <t>i=2</t>
  </si>
  <si>
    <t>i=3</t>
  </si>
  <si>
    <t>K</t>
  </si>
  <si>
    <t>r</t>
  </si>
  <si>
    <t>σ</t>
  </si>
  <si>
    <t>T (años)</t>
  </si>
  <si>
    <t>N pasos</t>
  </si>
  <si>
    <t>Tipo (1=call, -1=put)</t>
  </si>
  <si>
    <t>Griegas del árbol</t>
  </si>
  <si>
    <t>Futuro (1=sí)</t>
  </si>
  <si>
    <t>Precio (US$)</t>
  </si>
  <si>
    <t>Δt</t>
  </si>
  <si>
    <t>Delta</t>
  </si>
  <si>
    <t>u</t>
  </si>
  <si>
    <t>Gamma</t>
  </si>
  <si>
    <t>d</t>
  </si>
  <si>
    <t>Theta (por año)</t>
  </si>
  <si>
    <t>a</t>
  </si>
  <si>
    <t>Theta (por día)</t>
  </si>
  <si>
    <t>p</t>
  </si>
  <si>
    <t>Descuento</t>
  </si>
  <si>
    <t>21.4 Call americano sobre futuro de maíz (centavos)</t>
  </si>
  <si>
    <t>Precio (¢)</t>
  </si>
  <si>
    <t>Hull, Cap. 21</t>
  </si>
  <si>
    <t>Griegas del portafolio de opciones - Bloomberg OVME (14-oct-2026)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</si>
</sst>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00"/>
    <numFmt numFmtId="166" formatCode="0.0000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i/>
      <sz val="10"/>
      <name val="Aptos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4" fontId="4" fillId="0" borderId="0" xfId="0" applyNumberFormat="1" applyFont="1"/>
    <xf numFmtId="2" fontId="4" fillId="0" borderId="0" xfId="0" applyNumberFormat="1" applyFont="1"/>
    <xf numFmtId="164" fontId="5" fillId="0" borderId="0" xfId="0" applyNumberFormat="1" applyFont="1"/>
    <xf numFmtId="0" fontId="4" fillId="3" borderId="0" xfId="0" applyFont="1" applyFill="1"/>
    <xf numFmtId="0" fontId="5" fillId="0" borderId="0" xfId="0" applyFont="1"/>
    <xf numFmtId="164" fontId="0" fillId="0" borderId="0" xfId="0" applyNumberFormat="1"/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10" fillId="0" borderId="0" xfId="0" applyFont="1"/>
    <xf numFmtId="165" fontId="9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tabSelected="1" zoomScaleNormal="100" workbookViewId="0">
      <selection activeCell="B9" sqref="B9"/>
    </sheetView>
  </sheetViews>
  <sheetFormatPr defaultColWidth="8.6328125" defaultRowHeight="13" x14ac:dyDescent="0.3"/>
  <cols>
    <col min="1" max="1" width="24" style="14" customWidth="1"/>
    <col min="2" max="2" width="10" style="14" customWidth="1"/>
    <col min="3" max="3" width="8.6328125" style="14"/>
    <col min="4" max="12" width="10" style="14" customWidth="1"/>
    <col min="13" max="16384" width="8.6328125" style="14"/>
  </cols>
  <sheetData>
    <row r="1" spans="1:12" x14ac:dyDescent="0.3">
      <c r="A1" s="15" t="s">
        <v>107</v>
      </c>
    </row>
    <row r="3" spans="1:12" x14ac:dyDescent="0.3">
      <c r="A3" s="15" t="s">
        <v>78</v>
      </c>
      <c r="D3" s="15" t="s">
        <v>79</v>
      </c>
      <c r="I3" s="15" t="s">
        <v>80</v>
      </c>
    </row>
    <row r="4" spans="1:12" x14ac:dyDescent="0.3">
      <c r="A4" s="16" t="s">
        <v>81</v>
      </c>
      <c r="B4" s="16">
        <v>60</v>
      </c>
      <c r="D4" s="15" t="s">
        <v>82</v>
      </c>
      <c r="E4" s="15" t="s">
        <v>83</v>
      </c>
      <c r="F4" s="15" t="s">
        <v>84</v>
      </c>
      <c r="G4" s="15" t="s">
        <v>85</v>
      </c>
      <c r="I4" s="15" t="s">
        <v>82</v>
      </c>
      <c r="J4" s="15" t="s">
        <v>83</v>
      </c>
      <c r="K4" s="15" t="s">
        <v>84</v>
      </c>
      <c r="L4" s="15" t="s">
        <v>85</v>
      </c>
    </row>
    <row r="5" spans="1:12" x14ac:dyDescent="0.3">
      <c r="A5" s="16" t="s">
        <v>86</v>
      </c>
      <c r="B5" s="16">
        <v>60</v>
      </c>
      <c r="D5" s="17">
        <f>$B$4*$B$13^(0-0)*$B$14^0</f>
        <v>60</v>
      </c>
      <c r="E5" s="17">
        <f>$B$4*$B$13^(1-0)*$B$14^0</f>
        <v>68.323130720231191</v>
      </c>
      <c r="F5" s="17">
        <f>$B$4*$B$13^(2-0)*$B$14^0</f>
        <v>77.800836523563319</v>
      </c>
      <c r="G5" s="17">
        <f>$B$4*$B$13^(3-0)*$B$14^0</f>
        <v>88.593278732379247</v>
      </c>
      <c r="I5" s="17">
        <f>MAX(MAX($B$10*(D5-$B$5),0),$B$17*($B$16*J5+(1-$B$16)*J6))</f>
        <v>5.1627808512999129</v>
      </c>
      <c r="J5" s="17">
        <f>MAX(MAX($B$10*(E5-$B$5),0),$B$17*($B$16*K5+(1-$B$16)*K6))</f>
        <v>1.7993404745965511</v>
      </c>
      <c r="K5" s="17">
        <f>MAX(MAX($B$10*(F5-$B$5),0),$B$17*($B$16*L5+(1-$B$16)*L6))</f>
        <v>0</v>
      </c>
      <c r="L5" s="17">
        <f>MAX($B$10*(G5-$B$5),0)</f>
        <v>0</v>
      </c>
    </row>
    <row r="6" spans="1:12" x14ac:dyDescent="0.3">
      <c r="A6" s="16" t="s">
        <v>87</v>
      </c>
      <c r="B6" s="16">
        <v>0.1</v>
      </c>
      <c r="E6" s="17">
        <f>$B$4*$B$13^(1-1)*$B$14^1</f>
        <v>52.690793909038518</v>
      </c>
      <c r="F6" s="17">
        <f>$B$4*$B$13^(2-1)*$B$14^1</f>
        <v>60</v>
      </c>
      <c r="G6" s="17">
        <f>$B$4*$B$13^(3-1)*$B$14^1</f>
        <v>68.323130720231191</v>
      </c>
      <c r="J6" s="17">
        <f>MAX(MAX($B$10*(E6-$B$5),0),$B$17*($B$16*K6+(1-$B$16)*K7))</f>
        <v>8.6083818358647335</v>
      </c>
      <c r="K6" s="17">
        <f>MAX(MAX($B$10*(F6-$B$5),0),$B$17*($B$16*L6+(1-$B$16)*L7))</f>
        <v>3.6265342072886386</v>
      </c>
      <c r="L6" s="17">
        <f>MAX($B$10*(G6-$B$5),0)</f>
        <v>0</v>
      </c>
    </row>
    <row r="7" spans="1:12" x14ac:dyDescent="0.3">
      <c r="A7" s="16" t="s">
        <v>88</v>
      </c>
      <c r="B7" s="16">
        <v>0.45</v>
      </c>
      <c r="F7" s="17">
        <f>$B$4*$B$13^(2-2)*$B$14^2</f>
        <v>46.271996046079508</v>
      </c>
      <c r="G7" s="17">
        <f>$B$4*$B$13^(3-2)*$B$14^2</f>
        <v>52.690793909038518</v>
      </c>
      <c r="K7" s="17">
        <f>MAX(MAX($B$10*(F7-$B$5),0),$B$17*($B$16*L7+(1-$B$16)*L8))</f>
        <v>13.728003953920492</v>
      </c>
      <c r="L7" s="17">
        <f>MAX($B$10*(G7-$B$5),0)</f>
        <v>7.3092060909614816</v>
      </c>
    </row>
    <row r="8" spans="1:12" x14ac:dyDescent="0.3">
      <c r="A8" s="16" t="s">
        <v>89</v>
      </c>
      <c r="B8" s="16">
        <v>0.25</v>
      </c>
      <c r="G8" s="17">
        <f>$B$4*$B$13^(3-3)*$B$14^3</f>
        <v>40.635136790397013</v>
      </c>
      <c r="L8" s="17">
        <f>MAX($B$10*(G8-$B$5),0)</f>
        <v>19.364863209602987</v>
      </c>
    </row>
    <row r="9" spans="1:12" x14ac:dyDescent="0.3">
      <c r="A9" s="16" t="s">
        <v>90</v>
      </c>
      <c r="B9" s="16">
        <v>3</v>
      </c>
    </row>
    <row r="10" spans="1:12" x14ac:dyDescent="0.3">
      <c r="A10" s="16" t="s">
        <v>91</v>
      </c>
      <c r="B10" s="16">
        <v>-1</v>
      </c>
      <c r="D10" s="15" t="s">
        <v>92</v>
      </c>
    </row>
    <row r="11" spans="1:12" x14ac:dyDescent="0.3">
      <c r="A11" s="16" t="s">
        <v>93</v>
      </c>
      <c r="B11" s="16">
        <v>0</v>
      </c>
      <c r="D11" s="16" t="s">
        <v>94</v>
      </c>
      <c r="F11" s="18">
        <f>I5</f>
        <v>5.1627808512999129</v>
      </c>
    </row>
    <row r="12" spans="1:12" x14ac:dyDescent="0.3">
      <c r="A12" s="16" t="s">
        <v>95</v>
      </c>
      <c r="B12" s="21">
        <f>$B$8/$B$9</f>
        <v>8.3333333333333329E-2</v>
      </c>
      <c r="D12" s="16" t="s">
        <v>96</v>
      </c>
      <c r="F12" s="18">
        <f>(J5-J6)/(E5-E6)</f>
        <v>-0.43557412071578089</v>
      </c>
    </row>
    <row r="13" spans="1:12" x14ac:dyDescent="0.3">
      <c r="A13" s="16" t="s">
        <v>97</v>
      </c>
      <c r="B13" s="21">
        <f>EXP($B$7*SQRT(B12))</f>
        <v>1.1387188453371866</v>
      </c>
      <c r="D13" s="16" t="s">
        <v>98</v>
      </c>
      <c r="F13" s="19">
        <f>((K5-K6)/(F5-F6)-(K6-K7)/(F6-F7))/(0.5*(F5-F7))</f>
        <v>3.3753296996421399E-2</v>
      </c>
    </row>
    <row r="14" spans="1:12" x14ac:dyDescent="0.3">
      <c r="A14" s="16" t="s">
        <v>99</v>
      </c>
      <c r="B14" s="18">
        <f>1/B13</f>
        <v>0.87817989848397526</v>
      </c>
      <c r="D14" s="16" t="s">
        <v>100</v>
      </c>
      <c r="F14" s="17">
        <f>(K6-I5)/(2*$B$12)</f>
        <v>-9.2174798640676467</v>
      </c>
    </row>
    <row r="15" spans="1:12" x14ac:dyDescent="0.3">
      <c r="A15" s="16" t="s">
        <v>101</v>
      </c>
      <c r="B15" s="18">
        <f>IF($B$11=1,1,EXP($B$6*B12))</f>
        <v>1.008368152207447</v>
      </c>
      <c r="D15" s="16" t="s">
        <v>102</v>
      </c>
      <c r="F15" s="18">
        <f>F14/365</f>
        <v>-2.5253369490596294E-2</v>
      </c>
    </row>
    <row r="16" spans="1:12" x14ac:dyDescent="0.3">
      <c r="A16" s="16" t="s">
        <v>103</v>
      </c>
      <c r="B16" s="18">
        <f>(B15-B14)/(B13-B14)</f>
        <v>0.49968826271805089</v>
      </c>
    </row>
    <row r="17" spans="1:12" x14ac:dyDescent="0.3">
      <c r="A17" s="16" t="s">
        <v>104</v>
      </c>
      <c r="B17" s="18">
        <f>EXP(-$B$6*B12)</f>
        <v>0.99170129263887596</v>
      </c>
    </row>
    <row r="20" spans="1:12" x14ac:dyDescent="0.3">
      <c r="A20" s="15" t="s">
        <v>105</v>
      </c>
      <c r="D20" s="15" t="s">
        <v>79</v>
      </c>
      <c r="I20" s="15" t="s">
        <v>80</v>
      </c>
    </row>
    <row r="21" spans="1:12" x14ac:dyDescent="0.3">
      <c r="A21" s="16" t="s">
        <v>81</v>
      </c>
      <c r="B21" s="16">
        <v>198</v>
      </c>
      <c r="D21" s="15" t="s">
        <v>82</v>
      </c>
      <c r="E21" s="15" t="s">
        <v>83</v>
      </c>
      <c r="F21" s="15" t="s">
        <v>84</v>
      </c>
      <c r="G21" s="15" t="s">
        <v>85</v>
      </c>
      <c r="I21" s="15" t="s">
        <v>82</v>
      </c>
      <c r="J21" s="15" t="s">
        <v>83</v>
      </c>
      <c r="K21" s="15" t="s">
        <v>84</v>
      </c>
      <c r="L21" s="15" t="s">
        <v>85</v>
      </c>
    </row>
    <row r="22" spans="1:12" x14ac:dyDescent="0.3">
      <c r="A22" s="16" t="s">
        <v>86</v>
      </c>
      <c r="B22" s="16">
        <v>200</v>
      </c>
      <c r="D22" s="17">
        <f>$B$21*$B$30^(0-0)*$B$31^0</f>
        <v>198</v>
      </c>
      <c r="E22" s="17">
        <f>$B$21*$B$30^(1-0)*$B$31^0</f>
        <v>230.04318006020006</v>
      </c>
      <c r="F22" s="17">
        <f>$B$21*$B$30^(2-0)*$B$31^0</f>
        <v>267.27204390004857</v>
      </c>
      <c r="G22" s="17">
        <f>$B$21*$B$30^(3-0)*$B$31^0</f>
        <v>310.52581272705334</v>
      </c>
      <c r="I22" s="17">
        <f>MAX(MAX($B$27*(D22-$B$22),0),$B$34*($B$33*J22+(1-$B$33)*J23))</f>
        <v>20.337084835543237</v>
      </c>
      <c r="J22" s="17">
        <f>MAX(MAX($B$27*(E22-$B$22),0),$B$34*($B$33*K22+(1-$B$33)*K23))</f>
        <v>37.677713899234547</v>
      </c>
      <c r="K22" s="17">
        <f>MAX(MAX($B$27*(F22-$B$22),0),$B$34*($B$33*L22+(1-$B$33)*L23))</f>
        <v>67.272043900048573</v>
      </c>
      <c r="L22" s="17">
        <f>MAX($B$27*(G22-$B$22),0)</f>
        <v>110.52581272705334</v>
      </c>
    </row>
    <row r="23" spans="1:12" x14ac:dyDescent="0.3">
      <c r="A23" s="16" t="s">
        <v>87</v>
      </c>
      <c r="B23" s="16">
        <v>0.08</v>
      </c>
      <c r="E23" s="17">
        <f>$B$21*$B$30^(1-1)*$B$31^1</f>
        <v>170.42017933216144</v>
      </c>
      <c r="F23" s="17">
        <f>$B$21*$B$30^(2-1)*$B$31^1</f>
        <v>198</v>
      </c>
      <c r="G23" s="17">
        <f>$B$21*$B$30^(3-1)*$B$31^1</f>
        <v>230.04318006020003</v>
      </c>
      <c r="J23" s="17">
        <f>MAX(MAX($B$27*(E23-$B$22),0),$B$34*($B$33*K23+(1-$B$33)*K24))</f>
        <v>6.1763135872609309</v>
      </c>
      <c r="K23" s="17">
        <f>MAX(MAX($B$27*(F23-$B$22),0),$B$34*($B$33*L23+(1-$B$33)*L24))</f>
        <v>13.621897856405329</v>
      </c>
      <c r="L23" s="17">
        <f>MAX($B$27*(G23-$B$22),0)</f>
        <v>30.043180060200029</v>
      </c>
    </row>
    <row r="24" spans="1:12" x14ac:dyDescent="0.3">
      <c r="A24" s="16" t="s">
        <v>88</v>
      </c>
      <c r="B24" s="16">
        <v>0.3</v>
      </c>
      <c r="F24" s="17">
        <f>$B$21*$B$30^(2-2)*$B$31^2</f>
        <v>146.68200769498014</v>
      </c>
      <c r="G24" s="17">
        <f>$B$21*$B$30^(3-2)*$B$31^2</f>
        <v>170.42017933216144</v>
      </c>
      <c r="K24" s="17">
        <f>MAX(MAX($B$27*(F24-$B$22),0),$B$34*($B$33*L24+(1-$B$33)*L25))</f>
        <v>0</v>
      </c>
      <c r="L24" s="17">
        <f>MAX($B$27*(G24-$B$22),0)</f>
        <v>0</v>
      </c>
    </row>
    <row r="25" spans="1:12" x14ac:dyDescent="0.3">
      <c r="A25" s="16" t="s">
        <v>89</v>
      </c>
      <c r="B25" s="16">
        <v>0.75</v>
      </c>
      <c r="G25" s="17">
        <f>$B$21*$B$30^(3-3)*$B$31^3</f>
        <v>126.25037402111111</v>
      </c>
      <c r="L25" s="17">
        <f>MAX($B$27*(G25-$B$22),0)</f>
        <v>0</v>
      </c>
    </row>
    <row r="26" spans="1:12" x14ac:dyDescent="0.3">
      <c r="A26" s="16" t="s">
        <v>90</v>
      </c>
      <c r="B26" s="16">
        <v>3</v>
      </c>
    </row>
    <row r="27" spans="1:12" x14ac:dyDescent="0.3">
      <c r="A27" s="16" t="s">
        <v>91</v>
      </c>
      <c r="B27" s="16">
        <v>1</v>
      </c>
      <c r="D27" s="15" t="s">
        <v>92</v>
      </c>
    </row>
    <row r="28" spans="1:12" x14ac:dyDescent="0.3">
      <c r="A28" s="16" t="s">
        <v>93</v>
      </c>
      <c r="B28" s="16">
        <v>1</v>
      </c>
      <c r="D28" s="16" t="s">
        <v>106</v>
      </c>
      <c r="F28" s="18">
        <f>I22</f>
        <v>20.337084835543237</v>
      </c>
    </row>
    <row r="29" spans="1:12" x14ac:dyDescent="0.3">
      <c r="A29" s="16" t="s">
        <v>95</v>
      </c>
      <c r="B29" s="21">
        <f>$B$25/$B$26</f>
        <v>0.25</v>
      </c>
      <c r="D29" s="16" t="s">
        <v>96</v>
      </c>
      <c r="F29" s="18">
        <f>(J22-J23)/(E22-E23)</f>
        <v>0.52834308785736117</v>
      </c>
    </row>
    <row r="30" spans="1:12" x14ac:dyDescent="0.3">
      <c r="A30" s="16" t="s">
        <v>97</v>
      </c>
      <c r="B30" s="18">
        <f>EXP($B$24*SQRT(B29))</f>
        <v>1.1618342427282831</v>
      </c>
      <c r="D30" s="16" t="s">
        <v>98</v>
      </c>
      <c r="F30" s="19">
        <f>((K22-K23)/(F22-F23)-(K23-K24)/(F23-F24))/(0.5*(F22-F24))</f>
        <v>8.442552241168572E-3</v>
      </c>
    </row>
    <row r="31" spans="1:12" x14ac:dyDescent="0.3">
      <c r="A31" s="16" t="s">
        <v>99</v>
      </c>
      <c r="B31" s="18">
        <f>1/B30</f>
        <v>0.86070797642505781</v>
      </c>
      <c r="D31" s="16" t="s">
        <v>100</v>
      </c>
      <c r="F31" s="17">
        <f>(K23-I22)/(2*$B$29)</f>
        <v>-13.430373958275815</v>
      </c>
    </row>
    <row r="32" spans="1:12" x14ac:dyDescent="0.3">
      <c r="A32" s="16" t="s">
        <v>101</v>
      </c>
      <c r="B32" s="18">
        <f>IF($B$28=1,1,EXP($B$23*B29))</f>
        <v>1</v>
      </c>
      <c r="D32" s="16" t="s">
        <v>102</v>
      </c>
      <c r="F32" s="18">
        <f>F31/365</f>
        <v>-3.6795545091166615E-2</v>
      </c>
    </row>
    <row r="33" spans="1:2" x14ac:dyDescent="0.3">
      <c r="A33" s="16" t="s">
        <v>103</v>
      </c>
      <c r="B33" s="18">
        <f>(B32-B31)/(B30-B31)</f>
        <v>0.46257015465625057</v>
      </c>
    </row>
    <row r="34" spans="1:2" x14ac:dyDescent="0.3">
      <c r="A34" s="16" t="s">
        <v>104</v>
      </c>
      <c r="B34" s="18">
        <f>EXP(-$B$23*B29)</f>
        <v>0.98019867330675525</v>
      </c>
    </row>
    <row r="38" spans="1:2" x14ac:dyDescent="0.3">
      <c r="A38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D16" sqref="D16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10.90625" customWidth="1"/>
    <col min="5" max="9" width="12.90625" customWidth="1"/>
    <col min="10" max="10" width="9" customWidth="1"/>
    <col min="11" max="11" width="12" customWidth="1"/>
    <col min="12" max="13" width="9" customWidth="1"/>
    <col min="14" max="15" width="7" customWidth="1"/>
    <col min="16" max="16" width="9" customWidth="1"/>
    <col min="17" max="17" width="13" customWidth="1"/>
    <col min="18" max="18" width="11" customWidth="1"/>
    <col min="19" max="20" width="12" customWidth="1"/>
    <col min="21" max="22" width="10" customWidth="1"/>
  </cols>
  <sheetData>
    <row r="1" spans="1:22" ht="16.5" x14ac:dyDescent="0.35">
      <c r="A1" s="22" t="s">
        <v>108</v>
      </c>
    </row>
    <row r="3" spans="1:22" ht="26.5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</row>
    <row r="4" spans="1:22" x14ac:dyDescent="0.3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5">
        <v>250</v>
      </c>
      <c r="G4" s="4" t="s">
        <v>27</v>
      </c>
      <c r="H4" s="4">
        <v>36</v>
      </c>
      <c r="I4" s="4">
        <v>39.597000000000001</v>
      </c>
      <c r="J4" s="5">
        <v>254.08</v>
      </c>
      <c r="K4" s="5">
        <v>10.2956</v>
      </c>
      <c r="L4" s="6">
        <v>-41.47</v>
      </c>
      <c r="M4" s="6">
        <v>3.1288</v>
      </c>
      <c r="N4" s="5">
        <v>0.31</v>
      </c>
      <c r="O4" s="5">
        <v>-0.17</v>
      </c>
      <c r="P4" s="4">
        <v>10</v>
      </c>
      <c r="Q4" s="7">
        <f t="shared" ref="Q4:Q49" si="0">-K4*100*P4</f>
        <v>-10295.599999999999</v>
      </c>
      <c r="R4" s="7">
        <f t="shared" ref="R4:R49" si="1">L4/100*100*P4</f>
        <v>-414.7</v>
      </c>
      <c r="S4" s="7">
        <f t="shared" ref="S4:S49" si="2">R4*J4</f>
        <v>-105366.976</v>
      </c>
      <c r="T4" s="7">
        <f t="shared" ref="T4:T49" si="3">M4*J4/100*100*P4</f>
        <v>7949.6550399999996</v>
      </c>
      <c r="U4" s="7">
        <f t="shared" ref="U4:U49" si="4">N4*100*P4</f>
        <v>310</v>
      </c>
      <c r="V4" s="7">
        <f t="shared" ref="V4:V49" si="5">O4*100*P4</f>
        <v>-170</v>
      </c>
    </row>
    <row r="5" spans="1:22" x14ac:dyDescent="0.35">
      <c r="A5" s="4" t="s">
        <v>22</v>
      </c>
      <c r="B5" s="4" t="s">
        <v>23</v>
      </c>
      <c r="C5" s="4" t="s">
        <v>24</v>
      </c>
      <c r="D5" s="4" t="s">
        <v>25</v>
      </c>
      <c r="E5" s="4" t="s">
        <v>28</v>
      </c>
      <c r="F5" s="5">
        <v>255</v>
      </c>
      <c r="G5" s="4" t="s">
        <v>27</v>
      </c>
      <c r="H5" s="4">
        <v>36</v>
      </c>
      <c r="I5" s="4">
        <v>38.886000000000003</v>
      </c>
      <c r="J5" s="5">
        <v>254.08</v>
      </c>
      <c r="K5" s="5">
        <v>-12.540800000000001</v>
      </c>
      <c r="L5" s="6">
        <v>47.85</v>
      </c>
      <c r="M5" s="6">
        <v>-3.2645</v>
      </c>
      <c r="N5" s="5">
        <v>-0.32</v>
      </c>
      <c r="O5" s="5">
        <v>0.17</v>
      </c>
      <c r="P5" s="4">
        <v>10</v>
      </c>
      <c r="Q5" s="7">
        <f t="shared" si="0"/>
        <v>12540.800000000001</v>
      </c>
      <c r="R5" s="7">
        <f t="shared" si="1"/>
        <v>478.5</v>
      </c>
      <c r="S5" s="7">
        <f t="shared" si="2"/>
        <v>121577.28</v>
      </c>
      <c r="T5" s="7">
        <f t="shared" si="3"/>
        <v>-8294.4416000000019</v>
      </c>
      <c r="U5" s="7">
        <f t="shared" si="4"/>
        <v>-320</v>
      </c>
      <c r="V5" s="7">
        <f t="shared" si="5"/>
        <v>170</v>
      </c>
    </row>
    <row r="6" spans="1:22" x14ac:dyDescent="0.35">
      <c r="A6" s="4" t="s">
        <v>22</v>
      </c>
      <c r="B6" s="4" t="s">
        <v>23</v>
      </c>
      <c r="C6" s="4" t="s">
        <v>24</v>
      </c>
      <c r="D6" s="4" t="s">
        <v>29</v>
      </c>
      <c r="E6" s="4" t="s">
        <v>28</v>
      </c>
      <c r="F6" s="5">
        <v>265</v>
      </c>
      <c r="G6" s="4" t="s">
        <v>27</v>
      </c>
      <c r="H6" s="4">
        <v>36</v>
      </c>
      <c r="I6" s="4">
        <v>38.698</v>
      </c>
      <c r="J6" s="5">
        <v>254.08</v>
      </c>
      <c r="K6" s="5">
        <v>-8.3446999999999996</v>
      </c>
      <c r="L6" s="6">
        <v>-40.130000000000003</v>
      </c>
      <c r="M6" s="6">
        <v>-3.1465999999999998</v>
      </c>
      <c r="N6" s="5">
        <v>-0.31</v>
      </c>
      <c r="O6" s="5">
        <v>0.17</v>
      </c>
      <c r="P6" s="4">
        <v>10</v>
      </c>
      <c r="Q6" s="7">
        <f t="shared" si="0"/>
        <v>8344.6999999999989</v>
      </c>
      <c r="R6" s="7">
        <f t="shared" si="1"/>
        <v>-401.3</v>
      </c>
      <c r="S6" s="7">
        <f t="shared" si="2"/>
        <v>-101962.304</v>
      </c>
      <c r="T6" s="7">
        <f t="shared" si="3"/>
        <v>-7994.8812799999996</v>
      </c>
      <c r="U6" s="7">
        <f t="shared" si="4"/>
        <v>-310</v>
      </c>
      <c r="V6" s="7">
        <f t="shared" si="5"/>
        <v>170</v>
      </c>
    </row>
    <row r="7" spans="1:22" x14ac:dyDescent="0.35">
      <c r="A7" s="4" t="s">
        <v>22</v>
      </c>
      <c r="B7" s="4" t="s">
        <v>23</v>
      </c>
      <c r="C7" s="4" t="s">
        <v>24</v>
      </c>
      <c r="D7" s="4" t="s">
        <v>29</v>
      </c>
      <c r="E7" s="4" t="s">
        <v>26</v>
      </c>
      <c r="F7" s="5">
        <v>270</v>
      </c>
      <c r="G7" s="4" t="s">
        <v>27</v>
      </c>
      <c r="H7" s="4">
        <v>36</v>
      </c>
      <c r="I7" s="4">
        <v>39.039000000000001</v>
      </c>
      <c r="J7" s="5">
        <v>254.08</v>
      </c>
      <c r="K7" s="5">
        <v>6.8179999999999996</v>
      </c>
      <c r="L7" s="6">
        <v>34.549999999999997</v>
      </c>
      <c r="M7" s="6">
        <v>2.9737</v>
      </c>
      <c r="N7" s="5">
        <v>0.3</v>
      </c>
      <c r="O7" s="5">
        <v>-0.16</v>
      </c>
      <c r="P7" s="4">
        <v>10</v>
      </c>
      <c r="Q7" s="7">
        <f t="shared" si="0"/>
        <v>-6818</v>
      </c>
      <c r="R7" s="7">
        <f t="shared" si="1"/>
        <v>345.5</v>
      </c>
      <c r="S7" s="7">
        <f t="shared" si="2"/>
        <v>87784.639999999999</v>
      </c>
      <c r="T7" s="7">
        <f t="shared" si="3"/>
        <v>7555.5769600000003</v>
      </c>
      <c r="U7" s="7">
        <f t="shared" si="4"/>
        <v>300</v>
      </c>
      <c r="V7" s="7">
        <f t="shared" si="5"/>
        <v>-160</v>
      </c>
    </row>
    <row r="8" spans="1:22" x14ac:dyDescent="0.35">
      <c r="A8" s="4" t="s">
        <v>30</v>
      </c>
      <c r="B8" s="4" t="s">
        <v>23</v>
      </c>
      <c r="C8" s="4" t="s">
        <v>31</v>
      </c>
      <c r="D8" s="4" t="s">
        <v>25</v>
      </c>
      <c r="E8" s="4" t="s">
        <v>28</v>
      </c>
      <c r="F8" s="5">
        <v>260</v>
      </c>
      <c r="G8" s="4" t="s">
        <v>27</v>
      </c>
      <c r="H8" s="4">
        <v>36</v>
      </c>
      <c r="I8" s="4">
        <v>38.793999999999997</v>
      </c>
      <c r="J8" s="5">
        <v>254.08</v>
      </c>
      <c r="K8" s="5">
        <v>-15.2988</v>
      </c>
      <c r="L8" s="6">
        <v>54.21</v>
      </c>
      <c r="M8" s="6">
        <v>-3.2725</v>
      </c>
      <c r="N8" s="5">
        <v>-0.32</v>
      </c>
      <c r="O8" s="5">
        <v>0.17</v>
      </c>
      <c r="P8" s="4">
        <v>10</v>
      </c>
      <c r="Q8" s="7">
        <f t="shared" si="0"/>
        <v>15298.800000000001</v>
      </c>
      <c r="R8" s="7">
        <f t="shared" si="1"/>
        <v>542.1</v>
      </c>
      <c r="S8" s="7">
        <f t="shared" si="2"/>
        <v>137736.76800000001</v>
      </c>
      <c r="T8" s="7">
        <f t="shared" si="3"/>
        <v>-8314.7680000000018</v>
      </c>
      <c r="U8" s="7">
        <f t="shared" si="4"/>
        <v>-320</v>
      </c>
      <c r="V8" s="7">
        <f t="shared" si="5"/>
        <v>170</v>
      </c>
    </row>
    <row r="9" spans="1:22" x14ac:dyDescent="0.35">
      <c r="A9" s="4" t="s">
        <v>30</v>
      </c>
      <c r="B9" s="4" t="s">
        <v>23</v>
      </c>
      <c r="C9" s="4" t="s">
        <v>31</v>
      </c>
      <c r="D9" s="4" t="s">
        <v>25</v>
      </c>
      <c r="E9" s="4" t="s">
        <v>26</v>
      </c>
      <c r="F9" s="5">
        <v>250</v>
      </c>
      <c r="G9" s="4" t="s">
        <v>27</v>
      </c>
      <c r="H9" s="4">
        <v>36</v>
      </c>
      <c r="I9" s="4">
        <v>39.597000000000001</v>
      </c>
      <c r="J9" s="5">
        <v>254.08</v>
      </c>
      <c r="K9" s="5">
        <v>10.2956</v>
      </c>
      <c r="L9" s="6">
        <v>-41.47</v>
      </c>
      <c r="M9" s="6">
        <v>3.1288</v>
      </c>
      <c r="N9" s="5">
        <v>0.31</v>
      </c>
      <c r="O9" s="5">
        <v>-0.17</v>
      </c>
      <c r="P9" s="4">
        <v>10</v>
      </c>
      <c r="Q9" s="7">
        <f t="shared" si="0"/>
        <v>-10295.599999999999</v>
      </c>
      <c r="R9" s="7">
        <f t="shared" si="1"/>
        <v>-414.7</v>
      </c>
      <c r="S9" s="7">
        <f t="shared" si="2"/>
        <v>-105366.976</v>
      </c>
      <c r="T9" s="7">
        <f t="shared" si="3"/>
        <v>7949.6550399999996</v>
      </c>
      <c r="U9" s="7">
        <f t="shared" si="4"/>
        <v>310</v>
      </c>
      <c r="V9" s="7">
        <f t="shared" si="5"/>
        <v>-170</v>
      </c>
    </row>
    <row r="10" spans="1:22" x14ac:dyDescent="0.35">
      <c r="A10" s="4" t="s">
        <v>32</v>
      </c>
      <c r="B10" s="4" t="s">
        <v>23</v>
      </c>
      <c r="C10" s="4" t="s">
        <v>33</v>
      </c>
      <c r="D10" s="4" t="s">
        <v>25</v>
      </c>
      <c r="E10" s="4" t="s">
        <v>26</v>
      </c>
      <c r="F10" s="5">
        <v>250</v>
      </c>
      <c r="G10" s="4" t="s">
        <v>27</v>
      </c>
      <c r="H10" s="4">
        <v>36</v>
      </c>
      <c r="I10" s="4">
        <v>39.597000000000001</v>
      </c>
      <c r="J10" s="5">
        <v>254.08</v>
      </c>
      <c r="K10" s="5">
        <v>10.2956</v>
      </c>
      <c r="L10" s="6">
        <v>-41.47</v>
      </c>
      <c r="M10" s="6">
        <v>3.1288</v>
      </c>
      <c r="N10" s="5">
        <v>0.31</v>
      </c>
      <c r="O10" s="5">
        <v>-0.17</v>
      </c>
      <c r="P10" s="4">
        <v>10</v>
      </c>
      <c r="Q10" s="7">
        <f t="shared" si="0"/>
        <v>-10295.599999999999</v>
      </c>
      <c r="R10" s="7">
        <f t="shared" si="1"/>
        <v>-414.7</v>
      </c>
      <c r="S10" s="7">
        <f t="shared" si="2"/>
        <v>-105366.976</v>
      </c>
      <c r="T10" s="7">
        <f t="shared" si="3"/>
        <v>7949.6550399999996</v>
      </c>
      <c r="U10" s="7">
        <f t="shared" si="4"/>
        <v>310</v>
      </c>
      <c r="V10" s="7">
        <f t="shared" si="5"/>
        <v>-170</v>
      </c>
    </row>
    <row r="11" spans="1:22" x14ac:dyDescent="0.35">
      <c r="A11" s="4" t="s">
        <v>32</v>
      </c>
      <c r="B11" s="4" t="s">
        <v>23</v>
      </c>
      <c r="C11" s="4" t="s">
        <v>33</v>
      </c>
      <c r="D11" s="4" t="s">
        <v>25</v>
      </c>
      <c r="E11" s="4" t="s">
        <v>28</v>
      </c>
      <c r="F11" s="5">
        <v>260</v>
      </c>
      <c r="G11" s="4" t="s">
        <v>27</v>
      </c>
      <c r="H11" s="4">
        <v>36</v>
      </c>
      <c r="I11" s="4">
        <v>38.793999999999997</v>
      </c>
      <c r="J11" s="5">
        <v>254.08</v>
      </c>
      <c r="K11" s="5">
        <v>-15.2988</v>
      </c>
      <c r="L11" s="6">
        <v>54.21</v>
      </c>
      <c r="M11" s="6">
        <v>-3.2725</v>
      </c>
      <c r="N11" s="5">
        <v>-0.32</v>
      </c>
      <c r="O11" s="5">
        <v>0.17</v>
      </c>
      <c r="P11" s="4">
        <v>10</v>
      </c>
      <c r="Q11" s="7">
        <f t="shared" si="0"/>
        <v>15298.800000000001</v>
      </c>
      <c r="R11" s="7">
        <f t="shared" si="1"/>
        <v>542.1</v>
      </c>
      <c r="S11" s="7">
        <f t="shared" si="2"/>
        <v>137736.76800000001</v>
      </c>
      <c r="T11" s="7">
        <f t="shared" si="3"/>
        <v>-8314.7680000000018</v>
      </c>
      <c r="U11" s="7">
        <f t="shared" si="4"/>
        <v>-320</v>
      </c>
      <c r="V11" s="7">
        <f t="shared" si="5"/>
        <v>170</v>
      </c>
    </row>
    <row r="12" spans="1:22" x14ac:dyDescent="0.35">
      <c r="A12" s="4" t="s">
        <v>32</v>
      </c>
      <c r="B12" s="4" t="s">
        <v>23</v>
      </c>
      <c r="C12" s="4" t="s">
        <v>33</v>
      </c>
      <c r="D12" s="4" t="s">
        <v>29</v>
      </c>
      <c r="E12" s="4" t="s">
        <v>28</v>
      </c>
      <c r="F12" s="5">
        <v>260</v>
      </c>
      <c r="G12" s="4" t="s">
        <v>27</v>
      </c>
      <c r="H12" s="4">
        <v>36</v>
      </c>
      <c r="I12" s="4">
        <v>38.793999999999997</v>
      </c>
      <c r="J12" s="5">
        <v>254.08</v>
      </c>
      <c r="K12" s="5">
        <v>-10.287599999999999</v>
      </c>
      <c r="L12" s="6">
        <v>-46.24</v>
      </c>
      <c r="M12" s="6">
        <v>-3.2240000000000002</v>
      </c>
      <c r="N12" s="5">
        <v>-0.32</v>
      </c>
      <c r="O12" s="5">
        <v>0.17</v>
      </c>
      <c r="P12" s="4">
        <v>10</v>
      </c>
      <c r="Q12" s="7">
        <f t="shared" si="0"/>
        <v>10287.6</v>
      </c>
      <c r="R12" s="7">
        <f t="shared" si="1"/>
        <v>-462.40000000000003</v>
      </c>
      <c r="S12" s="7">
        <f t="shared" si="2"/>
        <v>-117486.59200000002</v>
      </c>
      <c r="T12" s="7">
        <f t="shared" si="3"/>
        <v>-8191.5392000000011</v>
      </c>
      <c r="U12" s="7">
        <f t="shared" si="4"/>
        <v>-320</v>
      </c>
      <c r="V12" s="7">
        <f t="shared" si="5"/>
        <v>170</v>
      </c>
    </row>
    <row r="13" spans="1:22" x14ac:dyDescent="0.35">
      <c r="A13" s="4" t="s">
        <v>32</v>
      </c>
      <c r="B13" s="4" t="s">
        <v>23</v>
      </c>
      <c r="C13" s="4" t="s">
        <v>33</v>
      </c>
      <c r="D13" s="4" t="s">
        <v>29</v>
      </c>
      <c r="E13" s="4" t="s">
        <v>26</v>
      </c>
      <c r="F13" s="5">
        <v>270</v>
      </c>
      <c r="G13" s="4" t="s">
        <v>27</v>
      </c>
      <c r="H13" s="4">
        <v>36</v>
      </c>
      <c r="I13" s="4">
        <v>39.039000000000001</v>
      </c>
      <c r="J13" s="5">
        <v>254.08</v>
      </c>
      <c r="K13" s="5">
        <v>6.8179999999999996</v>
      </c>
      <c r="L13" s="6">
        <v>34.549999999999997</v>
      </c>
      <c r="M13" s="6">
        <v>2.9737</v>
      </c>
      <c r="N13" s="5">
        <v>0.3</v>
      </c>
      <c r="O13" s="5">
        <v>-0.16</v>
      </c>
      <c r="P13" s="4">
        <v>10</v>
      </c>
      <c r="Q13" s="7">
        <f t="shared" si="0"/>
        <v>-6818</v>
      </c>
      <c r="R13" s="7">
        <f t="shared" si="1"/>
        <v>345.5</v>
      </c>
      <c r="S13" s="7">
        <f t="shared" si="2"/>
        <v>87784.639999999999</v>
      </c>
      <c r="T13" s="7">
        <f t="shared" si="3"/>
        <v>7555.5769600000003</v>
      </c>
      <c r="U13" s="7">
        <f t="shared" si="4"/>
        <v>300</v>
      </c>
      <c r="V13" s="7">
        <f t="shared" si="5"/>
        <v>-160</v>
      </c>
    </row>
    <row r="14" spans="1:22" x14ac:dyDescent="0.35">
      <c r="A14" s="4" t="s">
        <v>34</v>
      </c>
      <c r="B14" s="4" t="s">
        <v>23</v>
      </c>
      <c r="C14" s="4" t="s">
        <v>35</v>
      </c>
      <c r="D14" s="4" t="s">
        <v>25</v>
      </c>
      <c r="E14" s="4" t="s">
        <v>28</v>
      </c>
      <c r="F14" s="5">
        <v>255</v>
      </c>
      <c r="G14" s="4" t="s">
        <v>27</v>
      </c>
      <c r="H14" s="4">
        <v>36</v>
      </c>
      <c r="I14" s="4">
        <v>38.886000000000003</v>
      </c>
      <c r="J14" s="5">
        <v>254.08</v>
      </c>
      <c r="K14" s="5">
        <v>-12.540800000000001</v>
      </c>
      <c r="L14" s="6">
        <v>47.85</v>
      </c>
      <c r="M14" s="6">
        <v>-3.2645</v>
      </c>
      <c r="N14" s="5">
        <v>-0.32</v>
      </c>
      <c r="O14" s="5">
        <v>0.17</v>
      </c>
      <c r="P14" s="4">
        <v>5</v>
      </c>
      <c r="Q14" s="7">
        <f t="shared" si="0"/>
        <v>6270.4000000000005</v>
      </c>
      <c r="R14" s="7">
        <f t="shared" si="1"/>
        <v>239.25</v>
      </c>
      <c r="S14" s="7">
        <f t="shared" si="2"/>
        <v>60788.639999999999</v>
      </c>
      <c r="T14" s="7">
        <f t="shared" si="3"/>
        <v>-4147.220800000001</v>
      </c>
      <c r="U14" s="7">
        <f t="shared" si="4"/>
        <v>-160</v>
      </c>
      <c r="V14" s="7">
        <f t="shared" si="5"/>
        <v>85</v>
      </c>
    </row>
    <row r="15" spans="1:22" x14ac:dyDescent="0.35">
      <c r="A15" s="4" t="s">
        <v>36</v>
      </c>
      <c r="B15" s="4" t="s">
        <v>37</v>
      </c>
      <c r="C15" s="4" t="s">
        <v>38</v>
      </c>
      <c r="D15" s="4" t="s">
        <v>29</v>
      </c>
      <c r="E15" s="4" t="s">
        <v>26</v>
      </c>
      <c r="F15" s="5">
        <v>385</v>
      </c>
      <c r="G15" s="4" t="s">
        <v>39</v>
      </c>
      <c r="H15" s="4">
        <v>1</v>
      </c>
      <c r="I15" s="4">
        <v>57.34</v>
      </c>
      <c r="J15" s="5">
        <v>367.16</v>
      </c>
      <c r="K15" s="5">
        <v>0.84299999999999997</v>
      </c>
      <c r="L15" s="6">
        <v>11.99</v>
      </c>
      <c r="M15" s="6">
        <v>5.0523999999999996</v>
      </c>
      <c r="N15" s="5">
        <v>0.05</v>
      </c>
      <c r="O15" s="5">
        <v>-0.72</v>
      </c>
      <c r="P15" s="4">
        <v>5</v>
      </c>
      <c r="Q15" s="7">
        <f t="shared" si="0"/>
        <v>-421.5</v>
      </c>
      <c r="R15" s="7">
        <f t="shared" si="1"/>
        <v>59.95</v>
      </c>
      <c r="S15" s="7">
        <f t="shared" si="2"/>
        <v>22011.242000000002</v>
      </c>
      <c r="T15" s="7">
        <f t="shared" si="3"/>
        <v>9275.1959200000001</v>
      </c>
      <c r="U15" s="7">
        <f t="shared" si="4"/>
        <v>25</v>
      </c>
      <c r="V15" s="7">
        <f t="shared" si="5"/>
        <v>-360</v>
      </c>
    </row>
    <row r="16" spans="1:22" x14ac:dyDescent="0.35">
      <c r="A16" s="4" t="s">
        <v>36</v>
      </c>
      <c r="B16" s="4" t="s">
        <v>37</v>
      </c>
      <c r="C16" s="4" t="s">
        <v>38</v>
      </c>
      <c r="D16" s="4" t="s">
        <v>25</v>
      </c>
      <c r="E16" s="4" t="s">
        <v>26</v>
      </c>
      <c r="F16" s="5">
        <v>385</v>
      </c>
      <c r="G16" s="4" t="s">
        <v>39</v>
      </c>
      <c r="H16" s="4">
        <v>1</v>
      </c>
      <c r="I16" s="4">
        <v>57.34</v>
      </c>
      <c r="J16" s="5">
        <v>367.16</v>
      </c>
      <c r="K16" s="5">
        <v>18.636199999999999</v>
      </c>
      <c r="L16" s="6">
        <v>-88.11</v>
      </c>
      <c r="M16" s="6">
        <v>5.0617999999999999</v>
      </c>
      <c r="N16" s="5">
        <v>0.05</v>
      </c>
      <c r="O16" s="5">
        <v>-0.72</v>
      </c>
      <c r="P16" s="4">
        <v>5</v>
      </c>
      <c r="Q16" s="7">
        <f t="shared" si="0"/>
        <v>-9318.0999999999985</v>
      </c>
      <c r="R16" s="7">
        <f t="shared" si="1"/>
        <v>-440.55</v>
      </c>
      <c r="S16" s="7">
        <f t="shared" si="2"/>
        <v>-161752.33800000002</v>
      </c>
      <c r="T16" s="7">
        <f t="shared" si="3"/>
        <v>9292.4524399999991</v>
      </c>
      <c r="U16" s="7">
        <f t="shared" si="4"/>
        <v>25</v>
      </c>
      <c r="V16" s="7">
        <f t="shared" si="5"/>
        <v>-360</v>
      </c>
    </row>
    <row r="17" spans="1:22" x14ac:dyDescent="0.35">
      <c r="A17" s="4" t="s">
        <v>40</v>
      </c>
      <c r="B17" s="4" t="s">
        <v>37</v>
      </c>
      <c r="C17" s="4" t="s">
        <v>41</v>
      </c>
      <c r="D17" s="4" t="s">
        <v>29</v>
      </c>
      <c r="E17" s="4" t="s">
        <v>26</v>
      </c>
      <c r="F17" s="5">
        <v>385</v>
      </c>
      <c r="G17" s="4" t="s">
        <v>42</v>
      </c>
      <c r="H17" s="4">
        <v>64</v>
      </c>
      <c r="I17" s="4">
        <v>40.801000000000002</v>
      </c>
      <c r="J17" s="5">
        <v>367.16</v>
      </c>
      <c r="K17" s="5">
        <v>18.779</v>
      </c>
      <c r="L17" s="6">
        <v>44.05</v>
      </c>
      <c r="M17" s="6">
        <v>2.2957999999999998</v>
      </c>
      <c r="N17" s="5">
        <v>0.61</v>
      </c>
      <c r="O17" s="5">
        <v>-0.19</v>
      </c>
      <c r="P17" s="4">
        <v>5</v>
      </c>
      <c r="Q17" s="7">
        <f t="shared" si="0"/>
        <v>-9389.5</v>
      </c>
      <c r="R17" s="7">
        <f t="shared" si="1"/>
        <v>220.25</v>
      </c>
      <c r="S17" s="7">
        <f t="shared" si="2"/>
        <v>80866.990000000005</v>
      </c>
      <c r="T17" s="7">
        <f t="shared" si="3"/>
        <v>4214.6296400000001</v>
      </c>
      <c r="U17" s="7">
        <f t="shared" si="4"/>
        <v>305</v>
      </c>
      <c r="V17" s="7">
        <f t="shared" si="5"/>
        <v>-95</v>
      </c>
    </row>
    <row r="18" spans="1:22" x14ac:dyDescent="0.35">
      <c r="A18" s="4" t="s">
        <v>40</v>
      </c>
      <c r="B18" s="4" t="s">
        <v>37</v>
      </c>
      <c r="C18" s="4" t="s">
        <v>41</v>
      </c>
      <c r="D18" s="4" t="s">
        <v>25</v>
      </c>
      <c r="E18" s="4" t="s">
        <v>26</v>
      </c>
      <c r="F18" s="5">
        <v>385</v>
      </c>
      <c r="G18" s="4" t="s">
        <v>42</v>
      </c>
      <c r="H18" s="4">
        <v>64</v>
      </c>
      <c r="I18" s="4">
        <v>40.801000000000002</v>
      </c>
      <c r="J18" s="5">
        <v>367.16</v>
      </c>
      <c r="K18" s="5">
        <v>34.230600000000003</v>
      </c>
      <c r="L18" s="6">
        <v>-56.69</v>
      </c>
      <c r="M18" s="6">
        <v>2.3519999999999999</v>
      </c>
      <c r="N18" s="5">
        <v>0.61</v>
      </c>
      <c r="O18" s="5">
        <v>-0.2</v>
      </c>
      <c r="P18" s="4">
        <v>5</v>
      </c>
      <c r="Q18" s="7">
        <f t="shared" si="0"/>
        <v>-17115.300000000003</v>
      </c>
      <c r="R18" s="7">
        <f t="shared" si="1"/>
        <v>-283.45</v>
      </c>
      <c r="S18" s="7">
        <f t="shared" si="2"/>
        <v>-104071.50200000001</v>
      </c>
      <c r="T18" s="7">
        <f t="shared" si="3"/>
        <v>4317.8016000000007</v>
      </c>
      <c r="U18" s="7">
        <f t="shared" si="4"/>
        <v>305</v>
      </c>
      <c r="V18" s="7">
        <f t="shared" si="5"/>
        <v>-100</v>
      </c>
    </row>
    <row r="19" spans="1:22" x14ac:dyDescent="0.35">
      <c r="A19" s="4" t="s">
        <v>43</v>
      </c>
      <c r="B19" s="4" t="s">
        <v>37</v>
      </c>
      <c r="C19" s="4" t="s">
        <v>44</v>
      </c>
      <c r="D19" s="4" t="s">
        <v>29</v>
      </c>
      <c r="E19" s="4" t="s">
        <v>28</v>
      </c>
      <c r="F19" s="5">
        <v>385</v>
      </c>
      <c r="G19" s="4" t="s">
        <v>39</v>
      </c>
      <c r="H19" s="4">
        <v>1</v>
      </c>
      <c r="I19" s="4">
        <v>57</v>
      </c>
      <c r="J19" s="5">
        <v>367.16</v>
      </c>
      <c r="K19" s="5">
        <v>-0.86880000000000002</v>
      </c>
      <c r="L19" s="6">
        <v>-12.24</v>
      </c>
      <c r="M19" s="6">
        <v>-5.0937999999999999</v>
      </c>
      <c r="N19" s="5">
        <v>-0.05</v>
      </c>
      <c r="O19" s="5">
        <v>0.72</v>
      </c>
      <c r="P19" s="4">
        <v>5</v>
      </c>
      <c r="Q19" s="7">
        <f t="shared" si="0"/>
        <v>434.4</v>
      </c>
      <c r="R19" s="7">
        <f t="shared" si="1"/>
        <v>-61.2</v>
      </c>
      <c r="S19" s="7">
        <f t="shared" si="2"/>
        <v>-22470.192000000003</v>
      </c>
      <c r="T19" s="7">
        <f t="shared" si="3"/>
        <v>-9351.1980399999993</v>
      </c>
      <c r="U19" s="7">
        <f t="shared" si="4"/>
        <v>-25</v>
      </c>
      <c r="V19" s="7">
        <f t="shared" si="5"/>
        <v>360</v>
      </c>
    </row>
    <row r="20" spans="1:22" x14ac:dyDescent="0.35">
      <c r="A20" s="4" t="s">
        <v>43</v>
      </c>
      <c r="B20" s="4" t="s">
        <v>37</v>
      </c>
      <c r="C20" s="4" t="s">
        <v>44</v>
      </c>
      <c r="D20" s="4" t="s">
        <v>29</v>
      </c>
      <c r="E20" s="4" t="s">
        <v>26</v>
      </c>
      <c r="F20" s="5">
        <v>385</v>
      </c>
      <c r="G20" s="4" t="s">
        <v>42</v>
      </c>
      <c r="H20" s="4">
        <v>64</v>
      </c>
      <c r="I20" s="4">
        <v>40.801000000000002</v>
      </c>
      <c r="J20" s="5">
        <v>367.16</v>
      </c>
      <c r="K20" s="5">
        <v>18.779</v>
      </c>
      <c r="L20" s="6">
        <v>44.05</v>
      </c>
      <c r="M20" s="6">
        <v>2.2957999999999998</v>
      </c>
      <c r="N20" s="5">
        <v>0.61</v>
      </c>
      <c r="O20" s="5">
        <v>-0.19</v>
      </c>
      <c r="P20" s="4">
        <v>5</v>
      </c>
      <c r="Q20" s="7">
        <f t="shared" si="0"/>
        <v>-9389.5</v>
      </c>
      <c r="R20" s="7">
        <f t="shared" si="1"/>
        <v>220.25</v>
      </c>
      <c r="S20" s="7">
        <f t="shared" si="2"/>
        <v>80866.990000000005</v>
      </c>
      <c r="T20" s="7">
        <f t="shared" si="3"/>
        <v>4214.6296400000001</v>
      </c>
      <c r="U20" s="7">
        <f t="shared" si="4"/>
        <v>305</v>
      </c>
      <c r="V20" s="7">
        <f t="shared" si="5"/>
        <v>-95</v>
      </c>
    </row>
    <row r="21" spans="1:22" x14ac:dyDescent="0.35">
      <c r="A21" s="4" t="s">
        <v>45</v>
      </c>
      <c r="B21" s="4" t="s">
        <v>37</v>
      </c>
      <c r="C21" s="4" t="s">
        <v>46</v>
      </c>
      <c r="D21" s="4" t="s">
        <v>25</v>
      </c>
      <c r="E21" s="4" t="s">
        <v>26</v>
      </c>
      <c r="F21" s="5">
        <v>390</v>
      </c>
      <c r="G21" s="4" t="s">
        <v>27</v>
      </c>
      <c r="H21" s="4">
        <v>36</v>
      </c>
      <c r="I21" s="4">
        <v>42.747999999999998</v>
      </c>
      <c r="J21" s="5">
        <v>367.16</v>
      </c>
      <c r="K21" s="5">
        <v>33.034700000000001</v>
      </c>
      <c r="L21" s="6">
        <v>-64.22</v>
      </c>
      <c r="M21" s="6">
        <v>2.8174000000000001</v>
      </c>
      <c r="N21" s="5">
        <v>0.43</v>
      </c>
      <c r="O21" s="5">
        <v>-0.26</v>
      </c>
      <c r="P21" s="4">
        <v>5</v>
      </c>
      <c r="Q21" s="7">
        <f t="shared" si="0"/>
        <v>-16517.350000000002</v>
      </c>
      <c r="R21" s="7">
        <f t="shared" si="1"/>
        <v>-321.10000000000002</v>
      </c>
      <c r="S21" s="7">
        <f t="shared" si="2"/>
        <v>-117895.07600000002</v>
      </c>
      <c r="T21" s="7">
        <f t="shared" si="3"/>
        <v>5172.1829200000002</v>
      </c>
      <c r="U21" s="7">
        <f t="shared" si="4"/>
        <v>215</v>
      </c>
      <c r="V21" s="7">
        <f t="shared" si="5"/>
        <v>-130</v>
      </c>
    </row>
    <row r="22" spans="1:22" x14ac:dyDescent="0.35">
      <c r="A22" s="4" t="s">
        <v>45</v>
      </c>
      <c r="B22" s="4" t="s">
        <v>37</v>
      </c>
      <c r="C22" s="4" t="s">
        <v>46</v>
      </c>
      <c r="D22" s="4" t="s">
        <v>25</v>
      </c>
      <c r="E22" s="4" t="s">
        <v>28</v>
      </c>
      <c r="F22" s="5">
        <v>375</v>
      </c>
      <c r="G22" s="4" t="s">
        <v>27</v>
      </c>
      <c r="H22" s="4">
        <v>36</v>
      </c>
      <c r="I22" s="4">
        <v>42.411000000000001</v>
      </c>
      <c r="J22" s="5">
        <v>367.16</v>
      </c>
      <c r="K22" s="5">
        <v>-23.343900000000001</v>
      </c>
      <c r="L22" s="6">
        <v>52.86</v>
      </c>
      <c r="M22" s="6">
        <v>-2.9975000000000001</v>
      </c>
      <c r="N22" s="5">
        <v>-0.46</v>
      </c>
      <c r="O22" s="5">
        <v>0.27</v>
      </c>
      <c r="P22" s="4">
        <v>5</v>
      </c>
      <c r="Q22" s="7">
        <f t="shared" si="0"/>
        <v>11671.95</v>
      </c>
      <c r="R22" s="7">
        <f t="shared" si="1"/>
        <v>264.3</v>
      </c>
      <c r="S22" s="7">
        <f t="shared" si="2"/>
        <v>97040.388000000006</v>
      </c>
      <c r="T22" s="7">
        <f t="shared" si="3"/>
        <v>-5502.8105000000005</v>
      </c>
      <c r="U22" s="7">
        <f t="shared" si="4"/>
        <v>-230</v>
      </c>
      <c r="V22" s="7">
        <f t="shared" si="5"/>
        <v>135</v>
      </c>
    </row>
    <row r="23" spans="1:22" x14ac:dyDescent="0.35">
      <c r="A23" s="4" t="s">
        <v>47</v>
      </c>
      <c r="B23" s="4" t="s">
        <v>37</v>
      </c>
      <c r="C23" s="4" t="s">
        <v>48</v>
      </c>
      <c r="D23" s="4" t="s">
        <v>29</v>
      </c>
      <c r="E23" s="4" t="s">
        <v>26</v>
      </c>
      <c r="F23" s="5">
        <v>370</v>
      </c>
      <c r="G23" s="4" t="s">
        <v>27</v>
      </c>
      <c r="H23" s="4">
        <v>36</v>
      </c>
      <c r="I23" s="4">
        <v>42.795000000000002</v>
      </c>
      <c r="J23" s="5">
        <v>367.16</v>
      </c>
      <c r="K23" s="5">
        <v>19.2027</v>
      </c>
      <c r="L23" s="6">
        <v>51.56</v>
      </c>
      <c r="M23" s="6">
        <v>2.9361000000000002</v>
      </c>
      <c r="N23" s="5">
        <v>0.46</v>
      </c>
      <c r="O23" s="5">
        <v>-0.27</v>
      </c>
      <c r="P23" s="4">
        <v>5</v>
      </c>
      <c r="Q23" s="7">
        <f t="shared" si="0"/>
        <v>-9601.35</v>
      </c>
      <c r="R23" s="7">
        <f t="shared" si="1"/>
        <v>257.8</v>
      </c>
      <c r="S23" s="7">
        <f t="shared" si="2"/>
        <v>94653.848000000013</v>
      </c>
      <c r="T23" s="7">
        <f t="shared" si="3"/>
        <v>5390.092380000001</v>
      </c>
      <c r="U23" s="7">
        <f t="shared" si="4"/>
        <v>230</v>
      </c>
      <c r="V23" s="7">
        <f t="shared" si="5"/>
        <v>-135</v>
      </c>
    </row>
    <row r="24" spans="1:22" x14ac:dyDescent="0.35">
      <c r="A24" s="4" t="s">
        <v>47</v>
      </c>
      <c r="B24" s="4" t="s">
        <v>37</v>
      </c>
      <c r="C24" s="4" t="s">
        <v>48</v>
      </c>
      <c r="D24" s="4" t="s">
        <v>29</v>
      </c>
      <c r="E24" s="4" t="s">
        <v>28</v>
      </c>
      <c r="F24" s="5">
        <v>380</v>
      </c>
      <c r="G24" s="4" t="s">
        <v>27</v>
      </c>
      <c r="H24" s="4">
        <v>36</v>
      </c>
      <c r="I24" s="4">
        <v>42.463000000000001</v>
      </c>
      <c r="J24" s="5">
        <v>367.16</v>
      </c>
      <c r="K24" s="5">
        <v>-14.8391</v>
      </c>
      <c r="L24" s="6">
        <v>-43.66</v>
      </c>
      <c r="M24" s="6">
        <v>-2.9239000000000002</v>
      </c>
      <c r="N24" s="5">
        <v>-0.46</v>
      </c>
      <c r="O24" s="5">
        <v>0.27</v>
      </c>
      <c r="P24" s="8">
        <v>10</v>
      </c>
      <c r="Q24" s="7">
        <f t="shared" si="0"/>
        <v>14839.1</v>
      </c>
      <c r="R24" s="7">
        <f t="shared" si="1"/>
        <v>-436.59999999999997</v>
      </c>
      <c r="S24" s="7">
        <f t="shared" si="2"/>
        <v>-160302.05600000001</v>
      </c>
      <c r="T24" s="7">
        <f t="shared" si="3"/>
        <v>-10735.391240000001</v>
      </c>
      <c r="U24" s="7">
        <f t="shared" si="4"/>
        <v>-460</v>
      </c>
      <c r="V24" s="7">
        <f t="shared" si="5"/>
        <v>270</v>
      </c>
    </row>
    <row r="25" spans="1:22" x14ac:dyDescent="0.35">
      <c r="A25" s="4" t="s">
        <v>47</v>
      </c>
      <c r="B25" s="4" t="s">
        <v>37</v>
      </c>
      <c r="C25" s="4" t="s">
        <v>48</v>
      </c>
      <c r="D25" s="4" t="s">
        <v>29</v>
      </c>
      <c r="E25" s="4" t="s">
        <v>26</v>
      </c>
      <c r="F25" s="5">
        <v>390</v>
      </c>
      <c r="G25" s="4" t="s">
        <v>27</v>
      </c>
      <c r="H25" s="4">
        <v>36</v>
      </c>
      <c r="I25" s="4">
        <v>42.747999999999998</v>
      </c>
      <c r="J25" s="5">
        <v>367.16</v>
      </c>
      <c r="K25" s="5">
        <v>11.495699999999999</v>
      </c>
      <c r="L25" s="6">
        <v>36.35</v>
      </c>
      <c r="M25" s="6">
        <v>2.7677</v>
      </c>
      <c r="N25" s="5">
        <v>0.44</v>
      </c>
      <c r="O25" s="5">
        <v>-0.26</v>
      </c>
      <c r="P25" s="4">
        <v>5</v>
      </c>
      <c r="Q25" s="7">
        <f t="shared" si="0"/>
        <v>-5747.8499999999995</v>
      </c>
      <c r="R25" s="7">
        <f t="shared" si="1"/>
        <v>181.75</v>
      </c>
      <c r="S25" s="7">
        <f t="shared" si="2"/>
        <v>66731.33</v>
      </c>
      <c r="T25" s="7">
        <f t="shared" si="3"/>
        <v>5080.9436599999999</v>
      </c>
      <c r="U25" s="7">
        <f t="shared" si="4"/>
        <v>220</v>
      </c>
      <c r="V25" s="7">
        <f t="shared" si="5"/>
        <v>-130</v>
      </c>
    </row>
    <row r="26" spans="1:22" x14ac:dyDescent="0.35">
      <c r="A26" s="4" t="s">
        <v>49</v>
      </c>
      <c r="B26" s="4" t="s">
        <v>50</v>
      </c>
      <c r="C26" s="4" t="s">
        <v>51</v>
      </c>
      <c r="D26" s="4" t="s">
        <v>29</v>
      </c>
      <c r="E26" s="4" t="s">
        <v>26</v>
      </c>
      <c r="F26" s="5">
        <v>320</v>
      </c>
      <c r="G26" s="4" t="s">
        <v>27</v>
      </c>
      <c r="H26" s="4">
        <v>36</v>
      </c>
      <c r="I26" s="4">
        <v>28.491</v>
      </c>
      <c r="J26" s="5">
        <v>342.96</v>
      </c>
      <c r="K26" s="5">
        <v>27.610199999999999</v>
      </c>
      <c r="L26" s="6">
        <v>79.790000000000006</v>
      </c>
      <c r="M26" s="6">
        <v>3.0733999999999999</v>
      </c>
      <c r="N26" s="5">
        <v>0.3</v>
      </c>
      <c r="O26" s="5">
        <v>-0.12</v>
      </c>
      <c r="P26" s="4">
        <v>10</v>
      </c>
      <c r="Q26" s="7">
        <f t="shared" si="0"/>
        <v>-27610.2</v>
      </c>
      <c r="R26" s="7">
        <f t="shared" si="1"/>
        <v>797.90000000000009</v>
      </c>
      <c r="S26" s="7">
        <f t="shared" si="2"/>
        <v>273647.78400000004</v>
      </c>
      <c r="T26" s="7">
        <f t="shared" si="3"/>
        <v>10540.532639999999</v>
      </c>
      <c r="U26" s="7">
        <f t="shared" si="4"/>
        <v>300</v>
      </c>
      <c r="V26" s="7">
        <f t="shared" si="5"/>
        <v>-120</v>
      </c>
    </row>
    <row r="27" spans="1:22" x14ac:dyDescent="0.35">
      <c r="A27" s="4" t="s">
        <v>49</v>
      </c>
      <c r="B27" s="4" t="s">
        <v>50</v>
      </c>
      <c r="C27" s="4" t="s">
        <v>51</v>
      </c>
      <c r="D27" s="4" t="s">
        <v>29</v>
      </c>
      <c r="E27" s="4" t="s">
        <v>28</v>
      </c>
      <c r="F27" s="5">
        <v>335</v>
      </c>
      <c r="G27" s="4" t="s">
        <v>27</v>
      </c>
      <c r="H27" s="4">
        <v>36</v>
      </c>
      <c r="I27" s="4">
        <v>26.206</v>
      </c>
      <c r="J27" s="5">
        <v>342.96</v>
      </c>
      <c r="K27" s="5">
        <v>-16.334099999999999</v>
      </c>
      <c r="L27" s="6">
        <v>-63.83</v>
      </c>
      <c r="M27" s="6">
        <v>-4.4730999999999996</v>
      </c>
      <c r="N27" s="5">
        <v>-0.41</v>
      </c>
      <c r="O27" s="5">
        <v>0.14000000000000001</v>
      </c>
      <c r="P27" s="4">
        <v>10</v>
      </c>
      <c r="Q27" s="7">
        <f t="shared" si="0"/>
        <v>16334.099999999999</v>
      </c>
      <c r="R27" s="7">
        <f t="shared" si="1"/>
        <v>-638.29999999999995</v>
      </c>
      <c r="S27" s="7">
        <f t="shared" si="2"/>
        <v>-218911.36799999996</v>
      </c>
      <c r="T27" s="7">
        <f t="shared" si="3"/>
        <v>-15340.943759999998</v>
      </c>
      <c r="U27" s="7">
        <f t="shared" si="4"/>
        <v>-410</v>
      </c>
      <c r="V27" s="7">
        <f t="shared" si="5"/>
        <v>140.00000000000003</v>
      </c>
    </row>
    <row r="28" spans="1:22" x14ac:dyDescent="0.35">
      <c r="A28" s="4" t="s">
        <v>52</v>
      </c>
      <c r="B28" s="4" t="s">
        <v>50</v>
      </c>
      <c r="C28" s="4" t="s">
        <v>53</v>
      </c>
      <c r="D28" s="4" t="s">
        <v>29</v>
      </c>
      <c r="E28" s="4" t="s">
        <v>26</v>
      </c>
      <c r="F28" s="5">
        <v>335</v>
      </c>
      <c r="G28" s="4" t="s">
        <v>27</v>
      </c>
      <c r="H28" s="4">
        <v>36</v>
      </c>
      <c r="I28" s="4">
        <v>26.672999999999998</v>
      </c>
      <c r="J28" s="5">
        <v>342.96</v>
      </c>
      <c r="K28" s="5">
        <v>16.524799999999999</v>
      </c>
      <c r="L28" s="6">
        <v>63.64</v>
      </c>
      <c r="M28" s="6">
        <v>4.4028</v>
      </c>
      <c r="N28" s="5">
        <v>0.41</v>
      </c>
      <c r="O28" s="5">
        <v>-0.15</v>
      </c>
      <c r="P28" s="4">
        <v>5</v>
      </c>
      <c r="Q28" s="7">
        <f t="shared" si="0"/>
        <v>-8262.4</v>
      </c>
      <c r="R28" s="7">
        <f t="shared" si="1"/>
        <v>318.2</v>
      </c>
      <c r="S28" s="7">
        <f t="shared" si="2"/>
        <v>109129.87199999999</v>
      </c>
      <c r="T28" s="7">
        <f t="shared" si="3"/>
        <v>7549.9214399999992</v>
      </c>
      <c r="U28" s="7">
        <f t="shared" si="4"/>
        <v>205</v>
      </c>
      <c r="V28" s="7">
        <f t="shared" si="5"/>
        <v>-75</v>
      </c>
    </row>
    <row r="29" spans="1:22" x14ac:dyDescent="0.35">
      <c r="A29" s="4" t="s">
        <v>52</v>
      </c>
      <c r="B29" s="4" t="s">
        <v>50</v>
      </c>
      <c r="C29" s="4" t="s">
        <v>53</v>
      </c>
      <c r="D29" s="4" t="s">
        <v>25</v>
      </c>
      <c r="E29" s="4" t="s">
        <v>26</v>
      </c>
      <c r="F29" s="5">
        <v>335</v>
      </c>
      <c r="G29" s="4" t="s">
        <v>27</v>
      </c>
      <c r="H29" s="4">
        <v>36</v>
      </c>
      <c r="I29" s="4">
        <v>26.672999999999998</v>
      </c>
      <c r="J29" s="5">
        <v>342.96</v>
      </c>
      <c r="K29" s="5">
        <v>7.5727000000000002</v>
      </c>
      <c r="L29" s="6">
        <v>-36.26</v>
      </c>
      <c r="M29" s="6">
        <v>4.4516</v>
      </c>
      <c r="N29" s="5">
        <v>0.41</v>
      </c>
      <c r="O29" s="5">
        <v>-0.15</v>
      </c>
      <c r="P29" s="4">
        <v>5</v>
      </c>
      <c r="Q29" s="7">
        <f t="shared" si="0"/>
        <v>-3786.35</v>
      </c>
      <c r="R29" s="7">
        <f t="shared" si="1"/>
        <v>-181.29999999999998</v>
      </c>
      <c r="S29" s="7">
        <f t="shared" si="2"/>
        <v>-62178.647999999994</v>
      </c>
      <c r="T29" s="7">
        <f t="shared" si="3"/>
        <v>7633.6036800000002</v>
      </c>
      <c r="U29" s="7">
        <f t="shared" si="4"/>
        <v>205</v>
      </c>
      <c r="V29" s="7">
        <f t="shared" si="5"/>
        <v>-75</v>
      </c>
    </row>
    <row r="30" spans="1:22" x14ac:dyDescent="0.35">
      <c r="A30" s="4" t="s">
        <v>54</v>
      </c>
      <c r="B30" s="4" t="s">
        <v>55</v>
      </c>
      <c r="C30" s="4" t="s">
        <v>56</v>
      </c>
      <c r="D30" s="4" t="s">
        <v>29</v>
      </c>
      <c r="E30" s="4" t="s">
        <v>26</v>
      </c>
      <c r="F30" s="5">
        <v>230</v>
      </c>
      <c r="G30" s="4" t="s">
        <v>27</v>
      </c>
      <c r="H30" s="4">
        <v>36</v>
      </c>
      <c r="I30" s="4">
        <v>37.518000000000001</v>
      </c>
      <c r="J30" s="5">
        <v>221.3</v>
      </c>
      <c r="K30" s="5">
        <v>7.2356999999999996</v>
      </c>
      <c r="L30" s="6">
        <v>40.82</v>
      </c>
      <c r="M30" s="6">
        <v>3.2597999999999998</v>
      </c>
      <c r="N30" s="5">
        <v>0.27</v>
      </c>
      <c r="O30" s="5">
        <v>-0.14000000000000001</v>
      </c>
      <c r="P30" s="4">
        <v>10</v>
      </c>
      <c r="Q30" s="7">
        <f t="shared" si="0"/>
        <v>-7235.6999999999989</v>
      </c>
      <c r="R30" s="7">
        <f t="shared" si="1"/>
        <v>408.2</v>
      </c>
      <c r="S30" s="7">
        <f t="shared" si="2"/>
        <v>90334.66</v>
      </c>
      <c r="T30" s="7">
        <f t="shared" si="3"/>
        <v>7213.9373999999998</v>
      </c>
      <c r="U30" s="7">
        <f t="shared" si="4"/>
        <v>270</v>
      </c>
      <c r="V30" s="7">
        <f t="shared" si="5"/>
        <v>-140.00000000000003</v>
      </c>
    </row>
    <row r="31" spans="1:22" x14ac:dyDescent="0.35">
      <c r="A31" s="4" t="s">
        <v>54</v>
      </c>
      <c r="B31" s="4" t="s">
        <v>55</v>
      </c>
      <c r="C31" s="4" t="s">
        <v>56</v>
      </c>
      <c r="D31" s="4" t="s">
        <v>25</v>
      </c>
      <c r="E31" s="4" t="s">
        <v>26</v>
      </c>
      <c r="F31" s="5">
        <v>230</v>
      </c>
      <c r="G31" s="4" t="s">
        <v>27</v>
      </c>
      <c r="H31" s="4">
        <v>36</v>
      </c>
      <c r="I31" s="4">
        <v>37.518000000000001</v>
      </c>
      <c r="J31" s="5">
        <v>221.3</v>
      </c>
      <c r="K31" s="5">
        <v>15.1517</v>
      </c>
      <c r="L31" s="6">
        <v>-59.73</v>
      </c>
      <c r="M31" s="6">
        <v>3.3197000000000001</v>
      </c>
      <c r="N31" s="5">
        <v>0.27</v>
      </c>
      <c r="O31" s="5">
        <v>-0.14000000000000001</v>
      </c>
      <c r="P31" s="4">
        <v>10</v>
      </c>
      <c r="Q31" s="7">
        <f t="shared" si="0"/>
        <v>-15151.7</v>
      </c>
      <c r="R31" s="7">
        <f t="shared" si="1"/>
        <v>-597.29999999999995</v>
      </c>
      <c r="S31" s="7">
        <f t="shared" si="2"/>
        <v>-132182.49</v>
      </c>
      <c r="T31" s="7">
        <f t="shared" si="3"/>
        <v>7346.4961000000003</v>
      </c>
      <c r="U31" s="7">
        <f t="shared" si="4"/>
        <v>270</v>
      </c>
      <c r="V31" s="7">
        <f t="shared" si="5"/>
        <v>-140.00000000000003</v>
      </c>
    </row>
    <row r="32" spans="1:22" x14ac:dyDescent="0.35">
      <c r="A32" s="4" t="s">
        <v>57</v>
      </c>
      <c r="B32" s="4" t="s">
        <v>55</v>
      </c>
      <c r="C32" s="4" t="s">
        <v>58</v>
      </c>
      <c r="D32" s="4" t="s">
        <v>29</v>
      </c>
      <c r="E32" s="4" t="s">
        <v>26</v>
      </c>
      <c r="F32" s="5">
        <v>240</v>
      </c>
      <c r="G32" s="4" t="s">
        <v>27</v>
      </c>
      <c r="H32" s="4">
        <v>36</v>
      </c>
      <c r="I32" s="4">
        <v>37.320999999999998</v>
      </c>
      <c r="J32" s="5">
        <v>221.3</v>
      </c>
      <c r="K32" s="5">
        <v>4.2145999999999999</v>
      </c>
      <c r="L32" s="6">
        <v>27.66</v>
      </c>
      <c r="M32" s="6">
        <v>2.8235000000000001</v>
      </c>
      <c r="N32" s="5">
        <v>0.24</v>
      </c>
      <c r="O32" s="5">
        <v>-0.12</v>
      </c>
      <c r="P32" s="4">
        <v>10</v>
      </c>
      <c r="Q32" s="7">
        <f t="shared" si="0"/>
        <v>-4214.5999999999995</v>
      </c>
      <c r="R32" s="7">
        <f t="shared" si="1"/>
        <v>276.60000000000002</v>
      </c>
      <c r="S32" s="7">
        <f t="shared" si="2"/>
        <v>61211.580000000009</v>
      </c>
      <c r="T32" s="7">
        <f t="shared" si="3"/>
        <v>6248.4054999999998</v>
      </c>
      <c r="U32" s="7">
        <f t="shared" si="4"/>
        <v>240</v>
      </c>
      <c r="V32" s="7">
        <f t="shared" si="5"/>
        <v>-120</v>
      </c>
    </row>
    <row r="33" spans="1:22" x14ac:dyDescent="0.35">
      <c r="A33" s="4" t="s">
        <v>57</v>
      </c>
      <c r="B33" s="4" t="s">
        <v>55</v>
      </c>
      <c r="C33" s="4" t="s">
        <v>58</v>
      </c>
      <c r="D33" s="4" t="s">
        <v>25</v>
      </c>
      <c r="E33" s="4" t="s">
        <v>26</v>
      </c>
      <c r="F33" s="5">
        <v>220</v>
      </c>
      <c r="G33" s="4" t="s">
        <v>27</v>
      </c>
      <c r="H33" s="4">
        <v>36</v>
      </c>
      <c r="I33" s="4">
        <v>38.14</v>
      </c>
      <c r="J33" s="5">
        <v>221.3</v>
      </c>
      <c r="K33" s="5">
        <v>9.6430000000000007</v>
      </c>
      <c r="L33" s="6">
        <v>-44.74</v>
      </c>
      <c r="M33" s="6">
        <v>3.3001999999999998</v>
      </c>
      <c r="N33" s="5">
        <v>0.28000000000000003</v>
      </c>
      <c r="O33" s="5">
        <v>-0.15</v>
      </c>
      <c r="P33" s="4">
        <v>10</v>
      </c>
      <c r="Q33" s="7">
        <f t="shared" si="0"/>
        <v>-9643</v>
      </c>
      <c r="R33" s="7">
        <f t="shared" si="1"/>
        <v>-447.40000000000003</v>
      </c>
      <c r="S33" s="7">
        <f t="shared" si="2"/>
        <v>-99009.62000000001</v>
      </c>
      <c r="T33" s="7">
        <f t="shared" si="3"/>
        <v>7303.3425999999999</v>
      </c>
      <c r="U33" s="7">
        <f t="shared" si="4"/>
        <v>280.00000000000006</v>
      </c>
      <c r="V33" s="7">
        <f t="shared" si="5"/>
        <v>-150</v>
      </c>
    </row>
    <row r="34" spans="1:22" x14ac:dyDescent="0.35">
      <c r="A34" s="4" t="s">
        <v>59</v>
      </c>
      <c r="B34" s="4" t="s">
        <v>55</v>
      </c>
      <c r="C34" s="4" t="s">
        <v>33</v>
      </c>
      <c r="D34" s="4" t="s">
        <v>25</v>
      </c>
      <c r="E34" s="4" t="s">
        <v>26</v>
      </c>
      <c r="F34" s="5">
        <v>228</v>
      </c>
      <c r="G34" s="4" t="s">
        <v>27</v>
      </c>
      <c r="H34" s="4">
        <v>36</v>
      </c>
      <c r="I34" s="4">
        <v>37.597999999999999</v>
      </c>
      <c r="J34" s="5">
        <v>221.3</v>
      </c>
      <c r="K34" s="5">
        <v>13.9201</v>
      </c>
      <c r="L34" s="6">
        <v>-56.79</v>
      </c>
      <c r="M34" s="6">
        <v>3.3553999999999999</v>
      </c>
      <c r="N34" s="5">
        <v>0.28000000000000003</v>
      </c>
      <c r="O34" s="5">
        <v>-0.14000000000000001</v>
      </c>
      <c r="P34" s="4">
        <v>10</v>
      </c>
      <c r="Q34" s="7">
        <f t="shared" si="0"/>
        <v>-13920.1</v>
      </c>
      <c r="R34" s="7">
        <f t="shared" si="1"/>
        <v>-567.9</v>
      </c>
      <c r="S34" s="7">
        <f t="shared" si="2"/>
        <v>-125676.27</v>
      </c>
      <c r="T34" s="7">
        <f t="shared" si="3"/>
        <v>7425.5002000000004</v>
      </c>
      <c r="U34" s="7">
        <f t="shared" si="4"/>
        <v>280.00000000000006</v>
      </c>
      <c r="V34" s="7">
        <f t="shared" si="5"/>
        <v>-140.00000000000003</v>
      </c>
    </row>
    <row r="35" spans="1:22" x14ac:dyDescent="0.35">
      <c r="A35" s="4" t="s">
        <v>59</v>
      </c>
      <c r="B35" s="4" t="s">
        <v>55</v>
      </c>
      <c r="C35" s="4" t="s">
        <v>33</v>
      </c>
      <c r="D35" s="4" t="s">
        <v>25</v>
      </c>
      <c r="E35" s="4" t="s">
        <v>28</v>
      </c>
      <c r="F35" s="5">
        <v>235</v>
      </c>
      <c r="G35" s="4" t="s">
        <v>27</v>
      </c>
      <c r="H35" s="4">
        <v>36</v>
      </c>
      <c r="I35" s="4">
        <v>37.018000000000001</v>
      </c>
      <c r="J35" s="5">
        <v>221.3</v>
      </c>
      <c r="K35" s="5">
        <v>-18.3978</v>
      </c>
      <c r="L35" s="6">
        <v>67.010000000000005</v>
      </c>
      <c r="M35" s="6">
        <v>-3.1787999999999998</v>
      </c>
      <c r="N35" s="5">
        <v>-0.25</v>
      </c>
      <c r="O35" s="5">
        <v>0.13</v>
      </c>
      <c r="P35" s="4">
        <v>10</v>
      </c>
      <c r="Q35" s="7">
        <f t="shared" si="0"/>
        <v>18397.8</v>
      </c>
      <c r="R35" s="7">
        <f t="shared" si="1"/>
        <v>670.1</v>
      </c>
      <c r="S35" s="7">
        <f t="shared" si="2"/>
        <v>148293.13</v>
      </c>
      <c r="T35" s="7">
        <f t="shared" si="3"/>
        <v>-7034.6844000000001</v>
      </c>
      <c r="U35" s="7">
        <f t="shared" si="4"/>
        <v>-250</v>
      </c>
      <c r="V35" s="7">
        <f t="shared" si="5"/>
        <v>130</v>
      </c>
    </row>
    <row r="36" spans="1:22" x14ac:dyDescent="0.35">
      <c r="A36" s="4" t="s">
        <v>59</v>
      </c>
      <c r="B36" s="4" t="s">
        <v>55</v>
      </c>
      <c r="C36" s="4" t="s">
        <v>33</v>
      </c>
      <c r="D36" s="4" t="s">
        <v>29</v>
      </c>
      <c r="E36" s="4" t="s">
        <v>28</v>
      </c>
      <c r="F36" s="5">
        <v>235</v>
      </c>
      <c r="G36" s="4" t="s">
        <v>27</v>
      </c>
      <c r="H36" s="4">
        <v>36</v>
      </c>
      <c r="I36" s="4">
        <v>37.018000000000001</v>
      </c>
      <c r="J36" s="5">
        <v>221.3</v>
      </c>
      <c r="K36" s="5">
        <v>-5.4659000000000004</v>
      </c>
      <c r="L36" s="6">
        <v>-33.729999999999997</v>
      </c>
      <c r="M36" s="6">
        <v>-3.1078000000000001</v>
      </c>
      <c r="N36" s="5">
        <v>-0.26</v>
      </c>
      <c r="O36" s="5">
        <v>0.13</v>
      </c>
      <c r="P36" s="4">
        <v>10</v>
      </c>
      <c r="Q36" s="7">
        <f t="shared" si="0"/>
        <v>5465.9000000000005</v>
      </c>
      <c r="R36" s="7">
        <f t="shared" si="1"/>
        <v>-337.29999999999995</v>
      </c>
      <c r="S36" s="7">
        <f t="shared" si="2"/>
        <v>-74644.489999999991</v>
      </c>
      <c r="T36" s="7">
        <f t="shared" si="3"/>
        <v>-6877.5614000000005</v>
      </c>
      <c r="U36" s="7">
        <f t="shared" si="4"/>
        <v>-260</v>
      </c>
      <c r="V36" s="7">
        <f t="shared" si="5"/>
        <v>130</v>
      </c>
    </row>
    <row r="37" spans="1:22" x14ac:dyDescent="0.35">
      <c r="A37" s="4" t="s">
        <v>59</v>
      </c>
      <c r="B37" s="4" t="s">
        <v>55</v>
      </c>
      <c r="C37" s="4" t="s">
        <v>33</v>
      </c>
      <c r="D37" s="4" t="s">
        <v>29</v>
      </c>
      <c r="E37" s="4" t="s">
        <v>26</v>
      </c>
      <c r="F37" s="5">
        <v>245</v>
      </c>
      <c r="G37" s="4" t="s">
        <v>27</v>
      </c>
      <c r="H37" s="4">
        <v>36</v>
      </c>
      <c r="I37" s="4">
        <v>37.409999999999997</v>
      </c>
      <c r="J37" s="5">
        <v>221.3</v>
      </c>
      <c r="K37" s="5">
        <v>3.1749000000000001</v>
      </c>
      <c r="L37" s="6">
        <v>22.21</v>
      </c>
      <c r="M37" s="6">
        <v>2.5065</v>
      </c>
      <c r="N37" s="5">
        <v>0.21</v>
      </c>
      <c r="O37" s="5">
        <v>-0.11</v>
      </c>
      <c r="P37" s="4">
        <v>10</v>
      </c>
      <c r="Q37" s="7">
        <f t="shared" si="0"/>
        <v>-3174.9</v>
      </c>
      <c r="R37" s="7">
        <f t="shared" si="1"/>
        <v>222.10000000000002</v>
      </c>
      <c r="S37" s="7">
        <f t="shared" si="2"/>
        <v>49150.73000000001</v>
      </c>
      <c r="T37" s="7">
        <f t="shared" si="3"/>
        <v>5546.8845000000001</v>
      </c>
      <c r="U37" s="7">
        <f t="shared" si="4"/>
        <v>210</v>
      </c>
      <c r="V37" s="7">
        <f t="shared" si="5"/>
        <v>-110</v>
      </c>
    </row>
    <row r="38" spans="1:22" x14ac:dyDescent="0.35">
      <c r="A38" s="4" t="s">
        <v>60</v>
      </c>
      <c r="B38" s="4" t="s">
        <v>55</v>
      </c>
      <c r="C38" s="4" t="s">
        <v>51</v>
      </c>
      <c r="D38" s="4" t="s">
        <v>29</v>
      </c>
      <c r="E38" s="4" t="s">
        <v>28</v>
      </c>
      <c r="F38" s="5">
        <v>245</v>
      </c>
      <c r="G38" s="4" t="s">
        <v>27</v>
      </c>
      <c r="H38" s="4">
        <v>36</v>
      </c>
      <c r="I38" s="4">
        <v>37.165999999999997</v>
      </c>
      <c r="J38" s="5">
        <v>221.3</v>
      </c>
      <c r="K38" s="5">
        <v>-3.1238999999999999</v>
      </c>
      <c r="L38" s="6">
        <v>-22.04</v>
      </c>
      <c r="M38" s="6">
        <v>-2.5116999999999998</v>
      </c>
      <c r="N38" s="5">
        <v>-0.21</v>
      </c>
      <c r="O38" s="5">
        <v>0.11</v>
      </c>
      <c r="P38" s="4">
        <v>10</v>
      </c>
      <c r="Q38" s="7">
        <f t="shared" si="0"/>
        <v>3123.8999999999996</v>
      </c>
      <c r="R38" s="7">
        <f t="shared" si="1"/>
        <v>-220.39999999999998</v>
      </c>
      <c r="S38" s="7">
        <f t="shared" si="2"/>
        <v>-48774.52</v>
      </c>
      <c r="T38" s="7">
        <f t="shared" si="3"/>
        <v>-5558.3921</v>
      </c>
      <c r="U38" s="7">
        <f t="shared" si="4"/>
        <v>-210</v>
      </c>
      <c r="V38" s="7">
        <f t="shared" si="5"/>
        <v>110</v>
      </c>
    </row>
    <row r="39" spans="1:22" x14ac:dyDescent="0.35">
      <c r="A39" s="4" t="s">
        <v>60</v>
      </c>
      <c r="B39" s="4" t="s">
        <v>55</v>
      </c>
      <c r="C39" s="4" t="s">
        <v>51</v>
      </c>
      <c r="D39" s="4" t="s">
        <v>29</v>
      </c>
      <c r="E39" s="4" t="s">
        <v>26</v>
      </c>
      <c r="F39" s="5">
        <v>230</v>
      </c>
      <c r="G39" s="4" t="s">
        <v>27</v>
      </c>
      <c r="H39" s="4">
        <v>36</v>
      </c>
      <c r="I39" s="4">
        <v>37.518000000000001</v>
      </c>
      <c r="J39" s="5">
        <v>221.3</v>
      </c>
      <c r="K39" s="5">
        <v>7.2356999999999996</v>
      </c>
      <c r="L39" s="6">
        <v>40.82</v>
      </c>
      <c r="M39" s="6">
        <v>3.2597999999999998</v>
      </c>
      <c r="N39" s="5">
        <v>0.27</v>
      </c>
      <c r="O39" s="5">
        <v>-0.14000000000000001</v>
      </c>
      <c r="P39" s="4">
        <v>10</v>
      </c>
      <c r="Q39" s="7">
        <f t="shared" si="0"/>
        <v>-7235.6999999999989</v>
      </c>
      <c r="R39" s="7">
        <f t="shared" si="1"/>
        <v>408.2</v>
      </c>
      <c r="S39" s="7">
        <f t="shared" si="2"/>
        <v>90334.66</v>
      </c>
      <c r="T39" s="7">
        <f t="shared" si="3"/>
        <v>7213.9373999999998</v>
      </c>
      <c r="U39" s="7">
        <f t="shared" si="4"/>
        <v>270</v>
      </c>
      <c r="V39" s="7">
        <f t="shared" si="5"/>
        <v>-140.00000000000003</v>
      </c>
    </row>
    <row r="40" spans="1:22" x14ac:dyDescent="0.35">
      <c r="A40" s="4" t="s">
        <v>61</v>
      </c>
      <c r="B40" s="4" t="s">
        <v>62</v>
      </c>
      <c r="C40" s="4" t="s">
        <v>63</v>
      </c>
      <c r="D40" s="4" t="s">
        <v>29</v>
      </c>
      <c r="E40" s="4" t="s">
        <v>28</v>
      </c>
      <c r="F40" s="5">
        <v>720</v>
      </c>
      <c r="G40" s="4" t="s">
        <v>64</v>
      </c>
      <c r="H40" s="4">
        <v>15</v>
      </c>
      <c r="I40" s="4">
        <v>49.366999999999997</v>
      </c>
      <c r="J40" s="5">
        <v>737.54</v>
      </c>
      <c r="K40" s="5">
        <v>-40.005899999999997</v>
      </c>
      <c r="L40" s="6">
        <v>-61.81</v>
      </c>
      <c r="M40" s="6">
        <v>-3.7185999999999999</v>
      </c>
      <c r="N40" s="5">
        <v>-0.57999999999999996</v>
      </c>
      <c r="O40" s="5">
        <v>0.93</v>
      </c>
      <c r="P40" s="4">
        <v>3</v>
      </c>
      <c r="Q40" s="7">
        <f t="shared" si="0"/>
        <v>12001.769999999999</v>
      </c>
      <c r="R40" s="7">
        <f t="shared" si="1"/>
        <v>-185.42999999999998</v>
      </c>
      <c r="S40" s="7">
        <f t="shared" si="2"/>
        <v>-136762.04219999997</v>
      </c>
      <c r="T40" s="7">
        <f t="shared" si="3"/>
        <v>-8227.8487319999986</v>
      </c>
      <c r="U40" s="7">
        <f t="shared" si="4"/>
        <v>-173.99999999999997</v>
      </c>
      <c r="V40" s="7">
        <f t="shared" si="5"/>
        <v>279</v>
      </c>
    </row>
    <row r="41" spans="1:22" x14ac:dyDescent="0.35">
      <c r="A41" s="4" t="s">
        <v>61</v>
      </c>
      <c r="B41" s="4" t="s">
        <v>62</v>
      </c>
      <c r="C41" s="4" t="s">
        <v>63</v>
      </c>
      <c r="D41" s="4" t="s">
        <v>29</v>
      </c>
      <c r="E41" s="4" t="s">
        <v>26</v>
      </c>
      <c r="F41" s="5">
        <v>720</v>
      </c>
      <c r="G41" s="4" t="s">
        <v>42</v>
      </c>
      <c r="H41" s="4">
        <v>64</v>
      </c>
      <c r="I41" s="4">
        <v>40.014000000000003</v>
      </c>
      <c r="J41" s="5">
        <v>737.54</v>
      </c>
      <c r="K41" s="5">
        <v>60.652900000000002</v>
      </c>
      <c r="L41" s="6">
        <v>60.5</v>
      </c>
      <c r="M41" s="6">
        <v>2.2856999999999998</v>
      </c>
      <c r="N41" s="5">
        <v>1.2</v>
      </c>
      <c r="O41" s="5">
        <v>-0.37</v>
      </c>
      <c r="P41" s="4">
        <v>3</v>
      </c>
      <c r="Q41" s="7">
        <f t="shared" si="0"/>
        <v>-18195.87</v>
      </c>
      <c r="R41" s="7">
        <f t="shared" si="1"/>
        <v>181.5</v>
      </c>
      <c r="S41" s="7">
        <f t="shared" si="2"/>
        <v>133863.50999999998</v>
      </c>
      <c r="T41" s="7">
        <f t="shared" si="3"/>
        <v>5057.3855339999991</v>
      </c>
      <c r="U41" s="7">
        <f t="shared" si="4"/>
        <v>360</v>
      </c>
      <c r="V41" s="7">
        <f t="shared" si="5"/>
        <v>-111</v>
      </c>
    </row>
    <row r="42" spans="1:22" x14ac:dyDescent="0.35">
      <c r="A42" s="4" t="s">
        <v>65</v>
      </c>
      <c r="B42" s="4" t="s">
        <v>62</v>
      </c>
      <c r="C42" s="4" t="s">
        <v>66</v>
      </c>
      <c r="D42" s="4" t="s">
        <v>25</v>
      </c>
      <c r="E42" s="4" t="s">
        <v>28</v>
      </c>
      <c r="F42" s="5">
        <v>720</v>
      </c>
      <c r="G42" s="4" t="s">
        <v>64</v>
      </c>
      <c r="H42" s="4">
        <v>15</v>
      </c>
      <c r="I42" s="4">
        <v>49.366999999999997</v>
      </c>
      <c r="J42" s="5">
        <v>737.54</v>
      </c>
      <c r="K42" s="5">
        <v>-21.4145</v>
      </c>
      <c r="L42" s="6">
        <v>38.299999999999997</v>
      </c>
      <c r="M42" s="6">
        <v>-3.7307000000000001</v>
      </c>
      <c r="N42" s="5">
        <v>-0.57999999999999996</v>
      </c>
      <c r="O42" s="5">
        <v>0.93</v>
      </c>
      <c r="P42" s="4">
        <v>3</v>
      </c>
      <c r="Q42" s="7">
        <f t="shared" si="0"/>
        <v>6424.3499999999995</v>
      </c>
      <c r="R42" s="7">
        <f t="shared" si="1"/>
        <v>114.89999999999999</v>
      </c>
      <c r="S42" s="7">
        <f t="shared" si="2"/>
        <v>84743.34599999999</v>
      </c>
      <c r="T42" s="7">
        <f t="shared" si="3"/>
        <v>-8254.6214340000006</v>
      </c>
      <c r="U42" s="7">
        <f t="shared" si="4"/>
        <v>-173.99999999999997</v>
      </c>
      <c r="V42" s="7">
        <f t="shared" si="5"/>
        <v>279</v>
      </c>
    </row>
    <row r="43" spans="1:22" x14ac:dyDescent="0.35">
      <c r="A43" s="4" t="s">
        <v>65</v>
      </c>
      <c r="B43" s="4" t="s">
        <v>62</v>
      </c>
      <c r="C43" s="4" t="s">
        <v>66</v>
      </c>
      <c r="D43" s="4" t="s">
        <v>25</v>
      </c>
      <c r="E43" s="4" t="s">
        <v>26</v>
      </c>
      <c r="F43" s="5">
        <v>720</v>
      </c>
      <c r="G43" s="4" t="s">
        <v>42</v>
      </c>
      <c r="H43" s="4">
        <v>64</v>
      </c>
      <c r="I43" s="4">
        <v>40.014000000000003</v>
      </c>
      <c r="J43" s="5">
        <v>737.54</v>
      </c>
      <c r="K43" s="5">
        <v>38.693300000000001</v>
      </c>
      <c r="L43" s="6">
        <v>-39.840000000000003</v>
      </c>
      <c r="M43" s="6">
        <v>2.3144</v>
      </c>
      <c r="N43" s="5">
        <v>1.2</v>
      </c>
      <c r="O43" s="5">
        <v>-0.37</v>
      </c>
      <c r="P43" s="4">
        <v>3</v>
      </c>
      <c r="Q43" s="7">
        <f t="shared" si="0"/>
        <v>-11607.99</v>
      </c>
      <c r="R43" s="7">
        <f t="shared" si="1"/>
        <v>-119.52000000000001</v>
      </c>
      <c r="S43" s="7">
        <f t="shared" si="2"/>
        <v>-88150.780800000008</v>
      </c>
      <c r="T43" s="7">
        <f t="shared" si="3"/>
        <v>5120.8877279999988</v>
      </c>
      <c r="U43" s="7">
        <f t="shared" si="4"/>
        <v>360</v>
      </c>
      <c r="V43" s="7">
        <f t="shared" si="5"/>
        <v>-111</v>
      </c>
    </row>
    <row r="44" spans="1:22" x14ac:dyDescent="0.35">
      <c r="A44" s="4" t="s">
        <v>67</v>
      </c>
      <c r="B44" s="4" t="s">
        <v>62</v>
      </c>
      <c r="C44" s="4" t="s">
        <v>68</v>
      </c>
      <c r="D44" s="4" t="s">
        <v>29</v>
      </c>
      <c r="E44" s="4" t="s">
        <v>28</v>
      </c>
      <c r="F44" s="5">
        <v>720</v>
      </c>
      <c r="G44" s="4" t="s">
        <v>64</v>
      </c>
      <c r="H44" s="4">
        <v>15</v>
      </c>
      <c r="I44" s="4">
        <v>49.366999999999997</v>
      </c>
      <c r="J44" s="5">
        <v>737.54</v>
      </c>
      <c r="K44" s="5">
        <v>-40.005899999999997</v>
      </c>
      <c r="L44" s="6">
        <v>-61.81</v>
      </c>
      <c r="M44" s="6">
        <v>-3.7185999999999999</v>
      </c>
      <c r="N44" s="5">
        <v>-0.57999999999999996</v>
      </c>
      <c r="O44" s="5">
        <v>0.93</v>
      </c>
      <c r="P44" s="4">
        <v>3</v>
      </c>
      <c r="Q44" s="7">
        <f t="shared" si="0"/>
        <v>12001.769999999999</v>
      </c>
      <c r="R44" s="7">
        <f t="shared" si="1"/>
        <v>-185.42999999999998</v>
      </c>
      <c r="S44" s="7">
        <f t="shared" si="2"/>
        <v>-136762.04219999997</v>
      </c>
      <c r="T44" s="7">
        <f t="shared" si="3"/>
        <v>-8227.8487319999986</v>
      </c>
      <c r="U44" s="7">
        <f t="shared" si="4"/>
        <v>-173.99999999999997</v>
      </c>
      <c r="V44" s="7">
        <f t="shared" si="5"/>
        <v>279</v>
      </c>
    </row>
    <row r="45" spans="1:22" x14ac:dyDescent="0.35">
      <c r="A45" s="4" t="s">
        <v>67</v>
      </c>
      <c r="B45" s="4" t="s">
        <v>62</v>
      </c>
      <c r="C45" s="4" t="s">
        <v>68</v>
      </c>
      <c r="D45" s="4" t="s">
        <v>29</v>
      </c>
      <c r="E45" s="4" t="s">
        <v>26</v>
      </c>
      <c r="F45" s="5">
        <v>700</v>
      </c>
      <c r="G45" s="4" t="s">
        <v>42</v>
      </c>
      <c r="H45" s="4">
        <v>64</v>
      </c>
      <c r="I45" s="4">
        <v>40.121000000000002</v>
      </c>
      <c r="J45" s="5">
        <v>737.54</v>
      </c>
      <c r="K45" s="5">
        <v>72.135199999999998</v>
      </c>
      <c r="L45" s="6">
        <v>66.760000000000005</v>
      </c>
      <c r="M45" s="6">
        <v>2.1507999999999998</v>
      </c>
      <c r="N45" s="5">
        <v>1.1299999999999999</v>
      </c>
      <c r="O45" s="5">
        <v>-0.35</v>
      </c>
      <c r="P45" s="4">
        <v>3</v>
      </c>
      <c r="Q45" s="7">
        <f t="shared" si="0"/>
        <v>-21640.559999999998</v>
      </c>
      <c r="R45" s="7">
        <f t="shared" si="1"/>
        <v>200.28000000000003</v>
      </c>
      <c r="S45" s="7">
        <f t="shared" si="2"/>
        <v>147714.51120000001</v>
      </c>
      <c r="T45" s="7">
        <f t="shared" si="3"/>
        <v>4758.903096</v>
      </c>
      <c r="U45" s="7">
        <f t="shared" si="4"/>
        <v>338.99999999999994</v>
      </c>
      <c r="V45" s="7">
        <f t="shared" si="5"/>
        <v>-105</v>
      </c>
    </row>
    <row r="46" spans="1:22" x14ac:dyDescent="0.35">
      <c r="A46" s="4" t="s">
        <v>69</v>
      </c>
      <c r="B46" s="4" t="s">
        <v>62</v>
      </c>
      <c r="C46" s="4" t="s">
        <v>70</v>
      </c>
      <c r="D46" s="4" t="s">
        <v>29</v>
      </c>
      <c r="E46" s="4" t="s">
        <v>28</v>
      </c>
      <c r="F46" s="5">
        <v>720</v>
      </c>
      <c r="G46" s="4" t="s">
        <v>27</v>
      </c>
      <c r="H46" s="4">
        <v>36</v>
      </c>
      <c r="I46" s="4">
        <v>42.094999999999999</v>
      </c>
      <c r="J46" s="5">
        <v>737.54</v>
      </c>
      <c r="K46" s="5">
        <v>-49.710900000000002</v>
      </c>
      <c r="L46" s="6">
        <v>-60.85</v>
      </c>
      <c r="M46" s="6">
        <v>-2.8755000000000002</v>
      </c>
      <c r="N46" s="5">
        <v>-0.9</v>
      </c>
      <c r="O46" s="5">
        <v>0.52</v>
      </c>
      <c r="P46" s="4">
        <v>3</v>
      </c>
      <c r="Q46" s="7">
        <f t="shared" si="0"/>
        <v>14913.27</v>
      </c>
      <c r="R46" s="7">
        <f t="shared" si="1"/>
        <v>-182.55</v>
      </c>
      <c r="S46" s="7">
        <f t="shared" si="2"/>
        <v>-134637.927</v>
      </c>
      <c r="T46" s="7">
        <f t="shared" si="3"/>
        <v>-6362.3888099999995</v>
      </c>
      <c r="U46" s="7">
        <f t="shared" si="4"/>
        <v>-270</v>
      </c>
      <c r="V46" s="7">
        <f t="shared" si="5"/>
        <v>156</v>
      </c>
    </row>
    <row r="47" spans="1:22" x14ac:dyDescent="0.35">
      <c r="A47" s="4" t="s">
        <v>69</v>
      </c>
      <c r="B47" s="4" t="s">
        <v>62</v>
      </c>
      <c r="C47" s="4" t="s">
        <v>70</v>
      </c>
      <c r="D47" s="4" t="s">
        <v>29</v>
      </c>
      <c r="E47" s="4" t="s">
        <v>26</v>
      </c>
      <c r="F47" s="5">
        <v>720</v>
      </c>
      <c r="G47" s="4" t="s">
        <v>42</v>
      </c>
      <c r="H47" s="4">
        <v>64</v>
      </c>
      <c r="I47" s="4">
        <v>40.014000000000003</v>
      </c>
      <c r="J47" s="5">
        <v>737.54</v>
      </c>
      <c r="K47" s="5">
        <v>60.652900000000002</v>
      </c>
      <c r="L47" s="6">
        <v>60.5</v>
      </c>
      <c r="M47" s="6">
        <v>2.2856999999999998</v>
      </c>
      <c r="N47" s="5">
        <v>1.2</v>
      </c>
      <c r="O47" s="5">
        <v>-0.37</v>
      </c>
      <c r="P47" s="4">
        <v>3</v>
      </c>
      <c r="Q47" s="7">
        <f t="shared" si="0"/>
        <v>-18195.87</v>
      </c>
      <c r="R47" s="7">
        <f t="shared" si="1"/>
        <v>181.5</v>
      </c>
      <c r="S47" s="7">
        <f t="shared" si="2"/>
        <v>133863.50999999998</v>
      </c>
      <c r="T47" s="7">
        <f t="shared" si="3"/>
        <v>5057.3855339999991</v>
      </c>
      <c r="U47" s="7">
        <f t="shared" si="4"/>
        <v>360</v>
      </c>
      <c r="V47" s="7">
        <f t="shared" si="5"/>
        <v>-111</v>
      </c>
    </row>
    <row r="48" spans="1:22" x14ac:dyDescent="0.35">
      <c r="A48" s="4" t="s">
        <v>71</v>
      </c>
      <c r="B48" s="4" t="s">
        <v>62</v>
      </c>
      <c r="C48" s="4" t="s">
        <v>51</v>
      </c>
      <c r="D48" s="4" t="s">
        <v>29</v>
      </c>
      <c r="E48" s="4" t="s">
        <v>26</v>
      </c>
      <c r="F48" s="5">
        <v>700</v>
      </c>
      <c r="G48" s="4" t="s">
        <v>27</v>
      </c>
      <c r="H48" s="4">
        <v>36</v>
      </c>
      <c r="I48" s="4">
        <v>42.997999999999998</v>
      </c>
      <c r="J48" s="5">
        <v>737.54</v>
      </c>
      <c r="K48" s="5">
        <v>62.362499999999997</v>
      </c>
      <c r="L48" s="6">
        <v>68.400000000000006</v>
      </c>
      <c r="M48" s="6">
        <v>2.6071</v>
      </c>
      <c r="N48" s="5">
        <v>0.83</v>
      </c>
      <c r="O48" s="5">
        <v>-0.5</v>
      </c>
      <c r="P48" s="4">
        <v>3</v>
      </c>
      <c r="Q48" s="7">
        <f t="shared" si="0"/>
        <v>-18708.75</v>
      </c>
      <c r="R48" s="7">
        <f t="shared" si="1"/>
        <v>205.20000000000002</v>
      </c>
      <c r="S48" s="7">
        <f t="shared" si="2"/>
        <v>151343.20800000001</v>
      </c>
      <c r="T48" s="7">
        <f t="shared" si="3"/>
        <v>5768.5216019999998</v>
      </c>
      <c r="U48" s="7">
        <f t="shared" si="4"/>
        <v>249</v>
      </c>
      <c r="V48" s="7">
        <f t="shared" si="5"/>
        <v>-150</v>
      </c>
    </row>
    <row r="49" spans="1:22" x14ac:dyDescent="0.35">
      <c r="A49" s="4" t="s">
        <v>71</v>
      </c>
      <c r="B49" s="4" t="s">
        <v>62</v>
      </c>
      <c r="C49" s="4" t="s">
        <v>51</v>
      </c>
      <c r="D49" s="4" t="s">
        <v>29</v>
      </c>
      <c r="E49" s="4" t="s">
        <v>28</v>
      </c>
      <c r="F49" s="5">
        <v>730</v>
      </c>
      <c r="G49" s="4" t="s">
        <v>27</v>
      </c>
      <c r="H49" s="4">
        <v>36</v>
      </c>
      <c r="I49" s="4">
        <v>41.948</v>
      </c>
      <c r="J49" s="5">
        <v>737.54</v>
      </c>
      <c r="K49" s="5">
        <v>-44.236899999999999</v>
      </c>
      <c r="L49" s="6">
        <v>-56.84</v>
      </c>
      <c r="M49" s="6">
        <v>-2.9529999999999998</v>
      </c>
      <c r="N49" s="5">
        <v>-0.92</v>
      </c>
      <c r="O49" s="5">
        <v>0.53</v>
      </c>
      <c r="P49" s="4">
        <v>3</v>
      </c>
      <c r="Q49" s="7">
        <f t="shared" si="0"/>
        <v>13271.07</v>
      </c>
      <c r="R49" s="7">
        <f t="shared" si="1"/>
        <v>-170.52</v>
      </c>
      <c r="S49" s="7">
        <f t="shared" si="2"/>
        <v>-125765.3208</v>
      </c>
      <c r="T49" s="7">
        <f t="shared" si="3"/>
        <v>-6533.8668599999992</v>
      </c>
      <c r="U49" s="7">
        <f t="shared" si="4"/>
        <v>-276</v>
      </c>
      <c r="V49" s="7">
        <f t="shared" si="5"/>
        <v>159</v>
      </c>
    </row>
    <row r="52" spans="1:22" ht="16.5" x14ac:dyDescent="0.35">
      <c r="A52" s="1" t="s">
        <v>72</v>
      </c>
    </row>
    <row r="53" spans="1:22" ht="39.5" x14ac:dyDescent="0.35">
      <c r="A53" s="3" t="s">
        <v>0</v>
      </c>
      <c r="B53" s="3" t="s">
        <v>1</v>
      </c>
      <c r="C53" s="3" t="s">
        <v>2</v>
      </c>
      <c r="D53" s="3" t="s">
        <v>73</v>
      </c>
      <c r="E53" s="3" t="s">
        <v>17</v>
      </c>
      <c r="F53" s="3" t="s">
        <v>18</v>
      </c>
      <c r="G53" s="3" t="s">
        <v>19</v>
      </c>
      <c r="H53" s="3" t="s">
        <v>20</v>
      </c>
      <c r="I53" s="3" t="s">
        <v>21</v>
      </c>
    </row>
    <row r="54" spans="1:22" x14ac:dyDescent="0.35">
      <c r="A54" s="9" t="s">
        <v>22</v>
      </c>
      <c r="B54" s="9" t="s">
        <v>23</v>
      </c>
      <c r="C54" s="9" t="s">
        <v>24</v>
      </c>
      <c r="D54" s="10">
        <f t="shared" ref="D54:D73" si="6">SUMIFS($Q$4:$Q$49,$A$4:$A$49,$A54)</f>
        <v>3771.9000000000015</v>
      </c>
      <c r="E54" s="10">
        <f t="shared" ref="E54:E73" si="7">SUMIFS($R$4:$R$49,$A$4:$A$49,$A54)</f>
        <v>8</v>
      </c>
      <c r="F54" s="10">
        <f t="shared" ref="F54:F73" si="8">SUMIFS($S$4:$S$49,$A$4:$A$49,$A54)</f>
        <v>2032.6399999999994</v>
      </c>
      <c r="G54" s="10">
        <f t="shared" ref="G54:G73" si="9">SUMIFS($T$4:$T$49,$A$4:$A$49,$A54)</f>
        <v>-784.09088000000156</v>
      </c>
      <c r="H54" s="10">
        <f t="shared" ref="H54:H73" si="10">SUMIFS($U$4:$U$49,$A$4:$A$49,$A54)</f>
        <v>-20</v>
      </c>
      <c r="I54" s="10">
        <f t="shared" ref="I54:I73" si="11">SUMIFS($V$4:$V$49,$A$4:$A$49,$A54)</f>
        <v>10</v>
      </c>
    </row>
    <row r="55" spans="1:22" x14ac:dyDescent="0.35">
      <c r="A55" s="9" t="s">
        <v>30</v>
      </c>
      <c r="B55" s="9" t="s">
        <v>23</v>
      </c>
      <c r="C55" s="9" t="s">
        <v>31</v>
      </c>
      <c r="D55" s="10">
        <f t="shared" si="6"/>
        <v>5003.2000000000025</v>
      </c>
      <c r="E55" s="10">
        <f t="shared" si="7"/>
        <v>127.40000000000003</v>
      </c>
      <c r="F55" s="10">
        <f t="shared" si="8"/>
        <v>32369.792000000016</v>
      </c>
      <c r="G55" s="10">
        <f t="shared" si="9"/>
        <v>-365.1129600000022</v>
      </c>
      <c r="H55" s="10">
        <f t="shared" si="10"/>
        <v>-10</v>
      </c>
      <c r="I55" s="10">
        <f t="shared" si="11"/>
        <v>0</v>
      </c>
    </row>
    <row r="56" spans="1:22" x14ac:dyDescent="0.35">
      <c r="A56" s="9" t="s">
        <v>32</v>
      </c>
      <c r="B56" s="9" t="s">
        <v>23</v>
      </c>
      <c r="C56" s="9" t="s">
        <v>33</v>
      </c>
      <c r="D56" s="10">
        <f t="shared" si="6"/>
        <v>8472.8000000000029</v>
      </c>
      <c r="E56" s="10">
        <f t="shared" si="7"/>
        <v>10.5</v>
      </c>
      <c r="F56" s="10">
        <f t="shared" si="8"/>
        <v>2667.8399999999965</v>
      </c>
      <c r="G56" s="10">
        <f t="shared" si="9"/>
        <v>-1001.075200000003</v>
      </c>
      <c r="H56" s="10">
        <f t="shared" si="10"/>
        <v>-30</v>
      </c>
      <c r="I56" s="10">
        <f t="shared" si="11"/>
        <v>10</v>
      </c>
    </row>
    <row r="57" spans="1:22" x14ac:dyDescent="0.35">
      <c r="A57" s="9" t="s">
        <v>34</v>
      </c>
      <c r="B57" s="9" t="s">
        <v>23</v>
      </c>
      <c r="C57" s="9" t="s">
        <v>35</v>
      </c>
      <c r="D57" s="10">
        <f t="shared" si="6"/>
        <v>6270.4000000000005</v>
      </c>
      <c r="E57" s="10">
        <f t="shared" si="7"/>
        <v>239.25</v>
      </c>
      <c r="F57" s="10">
        <f t="shared" si="8"/>
        <v>60788.639999999999</v>
      </c>
      <c r="G57" s="10">
        <f t="shared" si="9"/>
        <v>-4147.220800000001</v>
      </c>
      <c r="H57" s="10">
        <f t="shared" si="10"/>
        <v>-160</v>
      </c>
      <c r="I57" s="10">
        <f t="shared" si="11"/>
        <v>85</v>
      </c>
    </row>
    <row r="58" spans="1:22" x14ac:dyDescent="0.35">
      <c r="A58" s="9" t="s">
        <v>36</v>
      </c>
      <c r="B58" s="9" t="s">
        <v>37</v>
      </c>
      <c r="C58" s="9" t="s">
        <v>38</v>
      </c>
      <c r="D58" s="10">
        <f t="shared" si="6"/>
        <v>-9739.5999999999985</v>
      </c>
      <c r="E58" s="10">
        <f t="shared" si="7"/>
        <v>-380.6</v>
      </c>
      <c r="F58" s="10">
        <f t="shared" si="8"/>
        <v>-139741.09600000002</v>
      </c>
      <c r="G58" s="10">
        <f t="shared" si="9"/>
        <v>18567.648359999999</v>
      </c>
      <c r="H58" s="10">
        <f t="shared" si="10"/>
        <v>50</v>
      </c>
      <c r="I58" s="10">
        <f t="shared" si="11"/>
        <v>-720</v>
      </c>
    </row>
    <row r="59" spans="1:22" x14ac:dyDescent="0.35">
      <c r="A59" s="9" t="s">
        <v>40</v>
      </c>
      <c r="B59" s="9" t="s">
        <v>37</v>
      </c>
      <c r="C59" s="9" t="s">
        <v>41</v>
      </c>
      <c r="D59" s="10">
        <f t="shared" si="6"/>
        <v>-26504.800000000003</v>
      </c>
      <c r="E59" s="10">
        <f t="shared" si="7"/>
        <v>-63.199999999999989</v>
      </c>
      <c r="F59" s="10">
        <f t="shared" si="8"/>
        <v>-23204.512000000002</v>
      </c>
      <c r="G59" s="10">
        <f t="shared" si="9"/>
        <v>8532.4312400000017</v>
      </c>
      <c r="H59" s="10">
        <f t="shared" si="10"/>
        <v>610</v>
      </c>
      <c r="I59" s="10">
        <f t="shared" si="11"/>
        <v>-195</v>
      </c>
    </row>
    <row r="60" spans="1:22" x14ac:dyDescent="0.35">
      <c r="A60" s="9" t="s">
        <v>43</v>
      </c>
      <c r="B60" s="9" t="s">
        <v>37</v>
      </c>
      <c r="C60" s="9" t="s">
        <v>44</v>
      </c>
      <c r="D60" s="10">
        <f t="shared" si="6"/>
        <v>-8955.1</v>
      </c>
      <c r="E60" s="10">
        <f t="shared" si="7"/>
        <v>159.05000000000001</v>
      </c>
      <c r="F60" s="10">
        <f t="shared" si="8"/>
        <v>58396.798000000003</v>
      </c>
      <c r="G60" s="10">
        <f t="shared" si="9"/>
        <v>-5136.5683999999992</v>
      </c>
      <c r="H60" s="10">
        <f t="shared" si="10"/>
        <v>280</v>
      </c>
      <c r="I60" s="10">
        <f t="shared" si="11"/>
        <v>265</v>
      </c>
    </row>
    <row r="61" spans="1:22" x14ac:dyDescent="0.35">
      <c r="A61" s="9" t="s">
        <v>45</v>
      </c>
      <c r="B61" s="9" t="s">
        <v>37</v>
      </c>
      <c r="C61" s="9" t="s">
        <v>46</v>
      </c>
      <c r="D61" s="10">
        <f t="shared" si="6"/>
        <v>-4845.4000000000015</v>
      </c>
      <c r="E61" s="10">
        <f t="shared" si="7"/>
        <v>-56.800000000000011</v>
      </c>
      <c r="F61" s="10">
        <f t="shared" si="8"/>
        <v>-20854.688000000009</v>
      </c>
      <c r="G61" s="10">
        <f t="shared" si="9"/>
        <v>-330.62758000000031</v>
      </c>
      <c r="H61" s="10">
        <f t="shared" si="10"/>
        <v>-15</v>
      </c>
      <c r="I61" s="10">
        <f t="shared" si="11"/>
        <v>5</v>
      </c>
    </row>
    <row r="62" spans="1:22" x14ac:dyDescent="0.35">
      <c r="A62" s="9" t="s">
        <v>47</v>
      </c>
      <c r="B62" s="9" t="s">
        <v>37</v>
      </c>
      <c r="C62" s="9" t="s">
        <v>48</v>
      </c>
      <c r="D62" s="10">
        <f t="shared" si="6"/>
        <v>-510.09999999999945</v>
      </c>
      <c r="E62" s="10">
        <f t="shared" si="7"/>
        <v>2.9500000000000455</v>
      </c>
      <c r="F62" s="10">
        <f t="shared" si="8"/>
        <v>1083.122000000003</v>
      </c>
      <c r="G62" s="10">
        <f t="shared" si="9"/>
        <v>-264.35519999999997</v>
      </c>
      <c r="H62" s="10">
        <f t="shared" si="10"/>
        <v>-10</v>
      </c>
      <c r="I62" s="10">
        <f t="shared" si="11"/>
        <v>5</v>
      </c>
    </row>
    <row r="63" spans="1:22" x14ac:dyDescent="0.35">
      <c r="A63" s="9" t="s">
        <v>49</v>
      </c>
      <c r="B63" s="9" t="s">
        <v>50</v>
      </c>
      <c r="C63" s="9" t="s">
        <v>51</v>
      </c>
      <c r="D63" s="10">
        <f t="shared" si="6"/>
        <v>-11276.100000000002</v>
      </c>
      <c r="E63" s="10">
        <f t="shared" si="7"/>
        <v>159.60000000000014</v>
      </c>
      <c r="F63" s="10">
        <f t="shared" si="8"/>
        <v>54736.416000000085</v>
      </c>
      <c r="G63" s="10">
        <f t="shared" si="9"/>
        <v>-4800.4111199999988</v>
      </c>
      <c r="H63" s="10">
        <f t="shared" si="10"/>
        <v>-110</v>
      </c>
      <c r="I63" s="10">
        <f t="shared" si="11"/>
        <v>20.000000000000028</v>
      </c>
    </row>
    <row r="64" spans="1:22" x14ac:dyDescent="0.35">
      <c r="A64" s="9" t="s">
        <v>52</v>
      </c>
      <c r="B64" s="9" t="s">
        <v>50</v>
      </c>
      <c r="C64" s="9" t="s">
        <v>53</v>
      </c>
      <c r="D64" s="10">
        <f t="shared" si="6"/>
        <v>-12048.75</v>
      </c>
      <c r="E64" s="10">
        <f t="shared" si="7"/>
        <v>136.9</v>
      </c>
      <c r="F64" s="10">
        <f t="shared" si="8"/>
        <v>46951.223999999995</v>
      </c>
      <c r="G64" s="10">
        <f t="shared" si="9"/>
        <v>15183.525119999998</v>
      </c>
      <c r="H64" s="10">
        <f t="shared" si="10"/>
        <v>410</v>
      </c>
      <c r="I64" s="10">
        <f t="shared" si="11"/>
        <v>-150</v>
      </c>
    </row>
    <row r="65" spans="1:9" x14ac:dyDescent="0.35">
      <c r="A65" s="9" t="s">
        <v>54</v>
      </c>
      <c r="B65" s="9" t="s">
        <v>55</v>
      </c>
      <c r="C65" s="9" t="s">
        <v>56</v>
      </c>
      <c r="D65" s="10">
        <f t="shared" si="6"/>
        <v>-22387.4</v>
      </c>
      <c r="E65" s="10">
        <f t="shared" si="7"/>
        <v>-189.09999999999997</v>
      </c>
      <c r="F65" s="10">
        <f t="shared" si="8"/>
        <v>-41847.829999999987</v>
      </c>
      <c r="G65" s="10">
        <f t="shared" si="9"/>
        <v>14560.433499999999</v>
      </c>
      <c r="H65" s="10">
        <f t="shared" si="10"/>
        <v>540</v>
      </c>
      <c r="I65" s="10">
        <f t="shared" si="11"/>
        <v>-280.00000000000006</v>
      </c>
    </row>
    <row r="66" spans="1:9" x14ac:dyDescent="0.35">
      <c r="A66" s="9" t="s">
        <v>57</v>
      </c>
      <c r="B66" s="9" t="s">
        <v>55</v>
      </c>
      <c r="C66" s="9" t="s">
        <v>58</v>
      </c>
      <c r="D66" s="10">
        <f t="shared" si="6"/>
        <v>-13857.599999999999</v>
      </c>
      <c r="E66" s="10">
        <f t="shared" si="7"/>
        <v>-170.8</v>
      </c>
      <c r="F66" s="10">
        <f t="shared" si="8"/>
        <v>-37798.04</v>
      </c>
      <c r="G66" s="10">
        <f t="shared" si="9"/>
        <v>13551.748100000001</v>
      </c>
      <c r="H66" s="10">
        <f t="shared" si="10"/>
        <v>520</v>
      </c>
      <c r="I66" s="10">
        <f t="shared" si="11"/>
        <v>-270</v>
      </c>
    </row>
    <row r="67" spans="1:9" x14ac:dyDescent="0.35">
      <c r="A67" s="9" t="s">
        <v>59</v>
      </c>
      <c r="B67" s="9" t="s">
        <v>55</v>
      </c>
      <c r="C67" s="9" t="s">
        <v>33</v>
      </c>
      <c r="D67" s="10">
        <f t="shared" si="6"/>
        <v>6768.6999999999989</v>
      </c>
      <c r="E67" s="10">
        <f t="shared" si="7"/>
        <v>-12.999999999999886</v>
      </c>
      <c r="F67" s="10">
        <f t="shared" si="8"/>
        <v>-2876.8999999999796</v>
      </c>
      <c r="G67" s="10">
        <f t="shared" si="9"/>
        <v>-939.86110000000008</v>
      </c>
      <c r="H67" s="10">
        <f t="shared" si="10"/>
        <v>-19.999999999999943</v>
      </c>
      <c r="I67" s="10">
        <f t="shared" si="11"/>
        <v>9.9999999999999716</v>
      </c>
    </row>
    <row r="68" spans="1:9" x14ac:dyDescent="0.35">
      <c r="A68" s="9" t="s">
        <v>60</v>
      </c>
      <c r="B68" s="9" t="s">
        <v>55</v>
      </c>
      <c r="C68" s="9" t="s">
        <v>51</v>
      </c>
      <c r="D68" s="10">
        <f t="shared" si="6"/>
        <v>-4111.7999999999993</v>
      </c>
      <c r="E68" s="10">
        <f t="shared" si="7"/>
        <v>187.8</v>
      </c>
      <c r="F68" s="10">
        <f t="shared" si="8"/>
        <v>41560.140000000007</v>
      </c>
      <c r="G68" s="10">
        <f t="shared" si="9"/>
        <v>1655.5452999999998</v>
      </c>
      <c r="H68" s="10">
        <f t="shared" si="10"/>
        <v>60</v>
      </c>
      <c r="I68" s="10">
        <f t="shared" si="11"/>
        <v>-30.000000000000028</v>
      </c>
    </row>
    <row r="69" spans="1:9" x14ac:dyDescent="0.35">
      <c r="A69" s="9" t="s">
        <v>61</v>
      </c>
      <c r="B69" s="9" t="s">
        <v>62</v>
      </c>
      <c r="C69" s="9" t="s">
        <v>63</v>
      </c>
      <c r="D69" s="10">
        <f t="shared" si="6"/>
        <v>-6194.1</v>
      </c>
      <c r="E69" s="10">
        <f t="shared" si="7"/>
        <v>-3.9299999999999784</v>
      </c>
      <c r="F69" s="10">
        <f t="shared" si="8"/>
        <v>-2898.5321999999869</v>
      </c>
      <c r="G69" s="10">
        <f t="shared" si="9"/>
        <v>-3170.4631979999995</v>
      </c>
      <c r="H69" s="10">
        <f t="shared" si="10"/>
        <v>186.00000000000003</v>
      </c>
      <c r="I69" s="10">
        <f t="shared" si="11"/>
        <v>168</v>
      </c>
    </row>
    <row r="70" spans="1:9" x14ac:dyDescent="0.35">
      <c r="A70" s="9" t="s">
        <v>65</v>
      </c>
      <c r="B70" s="9" t="s">
        <v>62</v>
      </c>
      <c r="C70" s="9" t="s">
        <v>66</v>
      </c>
      <c r="D70" s="10">
        <f t="shared" si="6"/>
        <v>-5183.6400000000003</v>
      </c>
      <c r="E70" s="10">
        <f t="shared" si="7"/>
        <v>-4.6200000000000188</v>
      </c>
      <c r="F70" s="10">
        <f t="shared" si="8"/>
        <v>-3407.4348000000173</v>
      </c>
      <c r="G70" s="10">
        <f t="shared" si="9"/>
        <v>-3133.7337060000018</v>
      </c>
      <c r="H70" s="10">
        <f t="shared" si="10"/>
        <v>186.00000000000003</v>
      </c>
      <c r="I70" s="10">
        <f t="shared" si="11"/>
        <v>168</v>
      </c>
    </row>
    <row r="71" spans="1:9" x14ac:dyDescent="0.35">
      <c r="A71" s="9" t="s">
        <v>67</v>
      </c>
      <c r="B71" s="9" t="s">
        <v>62</v>
      </c>
      <c r="C71" s="9" t="s">
        <v>68</v>
      </c>
      <c r="D71" s="10">
        <f t="shared" si="6"/>
        <v>-9638.7899999999991</v>
      </c>
      <c r="E71" s="10">
        <f t="shared" si="7"/>
        <v>14.850000000000051</v>
      </c>
      <c r="F71" s="10">
        <f t="shared" si="8"/>
        <v>10952.469000000041</v>
      </c>
      <c r="G71" s="10">
        <f t="shared" si="9"/>
        <v>-3468.9456359999986</v>
      </c>
      <c r="H71" s="10">
        <f t="shared" si="10"/>
        <v>164.99999999999997</v>
      </c>
      <c r="I71" s="10">
        <f t="shared" si="11"/>
        <v>174</v>
      </c>
    </row>
    <row r="72" spans="1:9" x14ac:dyDescent="0.35">
      <c r="A72" s="9" t="s">
        <v>69</v>
      </c>
      <c r="B72" s="9" t="s">
        <v>62</v>
      </c>
      <c r="C72" s="9" t="s">
        <v>70</v>
      </c>
      <c r="D72" s="10">
        <f t="shared" si="6"/>
        <v>-3282.5999999999985</v>
      </c>
      <c r="E72" s="10">
        <f t="shared" si="7"/>
        <v>-1.0500000000000114</v>
      </c>
      <c r="F72" s="10">
        <f t="shared" si="8"/>
        <v>-774.41700000001583</v>
      </c>
      <c r="G72" s="10">
        <f t="shared" si="9"/>
        <v>-1305.0032760000004</v>
      </c>
      <c r="H72" s="10">
        <f t="shared" si="10"/>
        <v>90</v>
      </c>
      <c r="I72" s="10">
        <f t="shared" si="11"/>
        <v>45</v>
      </c>
    </row>
    <row r="73" spans="1:9" x14ac:dyDescent="0.35">
      <c r="A73" s="9" t="s">
        <v>71</v>
      </c>
      <c r="B73" s="9" t="s">
        <v>62</v>
      </c>
      <c r="C73" s="9" t="s">
        <v>51</v>
      </c>
      <c r="D73" s="10">
        <f t="shared" si="6"/>
        <v>-5437.68</v>
      </c>
      <c r="E73" s="10">
        <f t="shared" si="7"/>
        <v>34.680000000000007</v>
      </c>
      <c r="F73" s="10">
        <f t="shared" si="8"/>
        <v>25577.887200000012</v>
      </c>
      <c r="G73" s="10">
        <f t="shared" si="9"/>
        <v>-765.34525799999938</v>
      </c>
      <c r="H73" s="10">
        <f t="shared" si="10"/>
        <v>-27</v>
      </c>
      <c r="I73" s="10">
        <f t="shared" si="11"/>
        <v>9</v>
      </c>
    </row>
    <row r="76" spans="1:9" ht="16.5" x14ac:dyDescent="0.35">
      <c r="A76" s="1" t="s">
        <v>74</v>
      </c>
    </row>
    <row r="77" spans="1:9" x14ac:dyDescent="0.35">
      <c r="A77" s="11" t="s">
        <v>1</v>
      </c>
      <c r="B77" s="11"/>
      <c r="C77" s="11"/>
      <c r="D77" s="11" t="s">
        <v>73</v>
      </c>
      <c r="E77" s="11" t="s">
        <v>17</v>
      </c>
      <c r="F77" s="11" t="s">
        <v>18</v>
      </c>
      <c r="G77" s="11" t="s">
        <v>19</v>
      </c>
      <c r="H77" s="11" t="s">
        <v>20</v>
      </c>
      <c r="I77" s="11" t="s">
        <v>21</v>
      </c>
    </row>
    <row r="78" spans="1:9" x14ac:dyDescent="0.35">
      <c r="A78" s="9" t="s">
        <v>50</v>
      </c>
      <c r="D78" s="10">
        <f>SUMIFS($Q$4:$Q$49,$B$4:$B$49,$A78)</f>
        <v>-23324.85</v>
      </c>
      <c r="E78" s="10">
        <f>SUMIFS($R$4:$R$49,$B$4:$B$49,$A78)</f>
        <v>296.50000000000011</v>
      </c>
      <c r="F78" s="10">
        <f>SUMIFS($S$4:$S$49,$B$4:$B$49,$A78)</f>
        <v>101687.64000000007</v>
      </c>
      <c r="G78" s="10">
        <f>SUMIFS($T$4:$T$49,$B$4:$B$49,$A78)</f>
        <v>10383.114000000001</v>
      </c>
      <c r="H78" s="10">
        <f>SUMIFS($U$4:$U$49,$B$4:$B$49,$A78)</f>
        <v>300</v>
      </c>
      <c r="I78" s="10">
        <f>SUMIFS($V$4:$V$49,$B$4:$B$49,$A78)</f>
        <v>-129.99999999999997</v>
      </c>
    </row>
    <row r="79" spans="1:9" x14ac:dyDescent="0.35">
      <c r="A79" s="9" t="s">
        <v>23</v>
      </c>
      <c r="D79" s="10">
        <f>SUMIFS($Q$4:$Q$49,$B$4:$B$49,$A79)</f>
        <v>23518.30000000001</v>
      </c>
      <c r="E79" s="10">
        <f>SUMIFS($R$4:$R$49,$B$4:$B$49,$A79)</f>
        <v>385.15000000000003</v>
      </c>
      <c r="F79" s="10">
        <f>SUMIFS($S$4:$S$49,$B$4:$B$49,$A79)</f>
        <v>97858.911999999997</v>
      </c>
      <c r="G79" s="10">
        <f>SUMIFS($T$4:$T$49,$B$4:$B$49,$A79)</f>
        <v>-6297.4998400000077</v>
      </c>
      <c r="H79" s="10">
        <f>SUMIFS($U$4:$U$49,$B$4:$B$49,$A79)</f>
        <v>-220</v>
      </c>
      <c r="I79" s="10">
        <f>SUMIFS($V$4:$V$49,$B$4:$B$49,$A79)</f>
        <v>105</v>
      </c>
    </row>
    <row r="80" spans="1:9" x14ac:dyDescent="0.35">
      <c r="A80" s="9" t="s">
        <v>62</v>
      </c>
      <c r="D80" s="10">
        <f>SUMIFS($Q$4:$Q$49,$B$4:$B$49,$A80)</f>
        <v>-29736.809999999998</v>
      </c>
      <c r="E80" s="10">
        <f>SUMIFS($R$4:$R$49,$B$4:$B$49,$A80)</f>
        <v>39.930000000000064</v>
      </c>
      <c r="F80" s="10">
        <f>SUMIFS($S$4:$S$49,$B$4:$B$49,$A80)</f>
        <v>29449.972200000033</v>
      </c>
      <c r="G80" s="10">
        <f>SUMIFS($T$4:$T$49,$B$4:$B$49,$A80)</f>
        <v>-11843.491073999998</v>
      </c>
      <c r="H80" s="10">
        <f>SUMIFS($U$4:$U$49,$B$4:$B$49,$A80)</f>
        <v>600</v>
      </c>
      <c r="I80" s="10">
        <f>SUMIFS($V$4:$V$49,$B$4:$B$49,$A80)</f>
        <v>564</v>
      </c>
    </row>
    <row r="81" spans="1:9" x14ac:dyDescent="0.35">
      <c r="A81" s="9" t="s">
        <v>55</v>
      </c>
      <c r="D81" s="10">
        <f>SUMIFS($Q$4:$Q$49,$B$4:$B$49,$A81)</f>
        <v>-33588.1</v>
      </c>
      <c r="E81" s="10">
        <f>SUMIFS($R$4:$R$49,$B$4:$B$49,$A81)</f>
        <v>-185.09999999999985</v>
      </c>
      <c r="F81" s="10">
        <f>SUMIFS($S$4:$S$49,$B$4:$B$49,$A81)</f>
        <v>-40962.629999999976</v>
      </c>
      <c r="G81" s="10">
        <f>SUMIFS($T$4:$T$49,$B$4:$B$49,$A81)</f>
        <v>28827.8658</v>
      </c>
      <c r="H81" s="10">
        <f>SUMIFS($U$4:$U$49,$B$4:$B$49,$A81)</f>
        <v>1100</v>
      </c>
      <c r="I81" s="10">
        <f>SUMIFS($V$4:$V$49,$B$4:$B$49,$A81)</f>
        <v>-570</v>
      </c>
    </row>
    <row r="82" spans="1:9" x14ac:dyDescent="0.35">
      <c r="A82" s="9" t="s">
        <v>37</v>
      </c>
      <c r="D82" s="10">
        <f>SUMIFS($Q$4:$Q$49,$B$4:$B$49,$A82)</f>
        <v>-50555.000000000007</v>
      </c>
      <c r="E82" s="10">
        <f>SUMIFS($R$4:$R$49,$B$4:$B$49,$A82)</f>
        <v>-338.59999999999991</v>
      </c>
      <c r="F82" s="10">
        <f>SUMIFS($S$4:$S$49,$B$4:$B$49,$A82)</f>
        <v>-124320.376</v>
      </c>
      <c r="G82" s="10">
        <f>SUMIFS($T$4:$T$49,$B$4:$B$49,$A82)</f>
        <v>21368.528419999999</v>
      </c>
      <c r="H82" s="10">
        <f>SUMIFS($U$4:$U$49,$B$4:$B$49,$A82)</f>
        <v>915</v>
      </c>
      <c r="I82" s="10">
        <f>SUMIFS($V$4:$V$49,$B$4:$B$49,$A82)</f>
        <v>-640</v>
      </c>
    </row>
    <row r="83" spans="1:9" x14ac:dyDescent="0.35">
      <c r="A83" s="12" t="s">
        <v>75</v>
      </c>
      <c r="D83" s="13">
        <f>SUM(D78:D82)</f>
        <v>-113686.45999999999</v>
      </c>
      <c r="E83" s="12" t="s">
        <v>76</v>
      </c>
      <c r="F83" s="13">
        <f>SUM(F78:F82)</f>
        <v>63713.518200000122</v>
      </c>
      <c r="G83" s="13">
        <f>SUM(G78:G82)</f>
        <v>42438.517305999994</v>
      </c>
      <c r="H83" s="13">
        <f>SUM(H78:H82)</f>
        <v>2695</v>
      </c>
      <c r="I83" s="13">
        <f>SUM(I78:I82)</f>
        <v>-671</v>
      </c>
    </row>
    <row r="84" spans="1:9" x14ac:dyDescent="0.35">
      <c r="A84" s="2" t="s">
        <v>77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Respuestas Cap 21 Hull</vt:lpstr>
      <vt:lpstr>Griegas Bloomberg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Valeria Acosta</cp:lastModifiedBy>
  <cp:revision>0</cp:revision>
  <dcterms:created xsi:type="dcterms:W3CDTF">2026-10-18T21:01:02Z</dcterms:created>
  <dcterms:modified xsi:type="dcterms:W3CDTF">2026-10-21T02:55:26Z</dcterms:modified>
  <dc:language>en-US</dc:language>
</cp:coreProperties>
</file>